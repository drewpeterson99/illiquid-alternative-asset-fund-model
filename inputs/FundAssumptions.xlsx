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oftware Projects\illiquid-alternative-asset-fund-model\inputs\"/>
    </mc:Choice>
  </mc:AlternateContent>
  <xr:revisionPtr revIDLastSave="0" documentId="13_ncr:1_{67662685-13DA-44F0-A332-55989E7EA8BB}" xr6:coauthVersionLast="47" xr6:coauthVersionMax="47" xr10:uidLastSave="{00000000-0000-0000-0000-000000000000}"/>
  <bookViews>
    <workbookView xWindow="-28920" yWindow="-120" windowWidth="29040" windowHeight="15720" xr2:uid="{9334B90D-CB79-461B-A22D-00B2DD3365E6}"/>
  </bookViews>
  <sheets>
    <sheet name="Fund Assumptions" sheetId="3" r:id="rId1"/>
  </sheets>
  <definedNames>
    <definedName name="_xlnm._FilterDatabase" localSheetId="0" hidden="1">'Fund Assumptions'!$A$1:$AL$20</definedName>
    <definedName name="Unit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" i="3" l="1"/>
</calcChain>
</file>

<file path=xl/sharedStrings.xml><?xml version="1.0" encoding="utf-8"?>
<sst xmlns="http://schemas.openxmlformats.org/spreadsheetml/2006/main" count="140" uniqueCount="62">
  <si>
    <t>Investment Name</t>
  </si>
  <si>
    <t>Net Return</t>
  </si>
  <si>
    <t>Total Commitment</t>
  </si>
  <si>
    <t>Carry</t>
  </si>
  <si>
    <t>Geography</t>
  </si>
  <si>
    <t>Security Master ID</t>
  </si>
  <si>
    <t>Stated
Unfunded</t>
  </si>
  <si>
    <t>Funded Amount</t>
  </si>
  <si>
    <t>Investment End Date</t>
  </si>
  <si>
    <t>Reinvestment End Date</t>
  </si>
  <si>
    <t>Termination Date</t>
  </si>
  <si>
    <t>Stated NAV</t>
  </si>
  <si>
    <t>Annual Fund Distribution Target</t>
  </si>
  <si>
    <t>% of Capital Drawn</t>
  </si>
  <si>
    <t>Mgmt Fee</t>
  </si>
  <si>
    <t>Paid on Committed?</t>
  </si>
  <si>
    <t>Carry Hurdle</t>
  </si>
  <si>
    <t>Currency</t>
  </si>
  <si>
    <t>Volatility</t>
  </si>
  <si>
    <t>x</t>
  </si>
  <si>
    <t>USD</t>
  </si>
  <si>
    <t>High Vol</t>
  </si>
  <si>
    <t>Private Equity</t>
  </si>
  <si>
    <t>Buyout</t>
  </si>
  <si>
    <t>US</t>
  </si>
  <si>
    <t>Private Direct Investments</t>
  </si>
  <si>
    <t>Origination</t>
  </si>
  <si>
    <t>Medium Vol</t>
  </si>
  <si>
    <t>Hybrid/Structured Equity</t>
  </si>
  <si>
    <t>Preferred Equity</t>
  </si>
  <si>
    <t>Low Vol</t>
  </si>
  <si>
    <t>Real Assets</t>
  </si>
  <si>
    <t>Infrastructure</t>
  </si>
  <si>
    <t>Real Estate - Equity</t>
  </si>
  <si>
    <t>Middle East</t>
  </si>
  <si>
    <t>Credit</t>
  </si>
  <si>
    <t>Diversified</t>
  </si>
  <si>
    <t>Direct Lending</t>
  </si>
  <si>
    <t>EU</t>
  </si>
  <si>
    <t>Structured</t>
  </si>
  <si>
    <t>Growth</t>
  </si>
  <si>
    <t>GBP</t>
  </si>
  <si>
    <t>Asset Class</t>
  </si>
  <si>
    <t>Sub-Asset Class</t>
  </si>
  <si>
    <t>Fund A</t>
  </si>
  <si>
    <t>Fund B</t>
  </si>
  <si>
    <t>Fund C</t>
  </si>
  <si>
    <t>Fund D</t>
  </si>
  <si>
    <t>Fund E</t>
  </si>
  <si>
    <t>Fund F</t>
  </si>
  <si>
    <t>Fund G</t>
  </si>
  <si>
    <t>Fund H</t>
  </si>
  <si>
    <t>Fund I</t>
  </si>
  <si>
    <t>Fund J</t>
  </si>
  <si>
    <t>Fund K</t>
  </si>
  <si>
    <t>Fund L</t>
  </si>
  <si>
    <t>Fund M</t>
  </si>
  <si>
    <t>Fund N</t>
  </si>
  <si>
    <t>Fund O</t>
  </si>
  <si>
    <t>Ann. Asset Class Return (Conservative)</t>
  </si>
  <si>
    <t>Fund P</t>
  </si>
  <si>
    <t>Fund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</si>
</sst>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#,##0.0%_);\(#,##0.0%\);_(&quot;–&quot;_)_%;_(@_)_%"/>
    <numFmt numFmtId="165" formatCode="_(* #,##0_);_(* \(#,##0\);_(* &quot;-&quot;??_);_(@_)"/>
    <numFmt numFmtId="166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164" fontId="2" fillId="0" borderId="0" xfId="0" applyNumberFormat="1" applyFont="1"/>
    <xf numFmtId="165" fontId="4" fillId="0" borderId="0" xfId="2" applyNumberFormat="1" applyFont="1" applyFill="1" applyBorder="1" applyAlignment="1">
      <alignment horizontal="right"/>
    </xf>
    <xf numFmtId="43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5" fillId="0" borderId="0" xfId="0" applyFont="1"/>
    <xf numFmtId="14" fontId="4" fillId="0" borderId="0" xfId="0" applyNumberFormat="1" applyFont="1" applyAlignment="1">
      <alignment horizontal="right"/>
    </xf>
    <xf numFmtId="10" fontId="4" fillId="0" borderId="0" xfId="1" applyNumberFormat="1" applyFont="1" applyFill="1" applyBorder="1" applyAlignment="1">
      <alignment horizontal="right"/>
    </xf>
    <xf numFmtId="10" fontId="4" fillId="0" borderId="0" xfId="0" applyNumberFormat="1" applyFont="1" applyAlignment="1">
      <alignment horizontal="right"/>
    </xf>
    <xf numFmtId="166" fontId="4" fillId="0" borderId="0" xfId="1" applyNumberFormat="1" applyFont="1" applyFill="1" applyBorder="1" applyAlignment="1">
      <alignment horizontal="right"/>
    </xf>
    <xf numFmtId="0" fontId="4" fillId="0" borderId="0" xfId="1" applyNumberFormat="1" applyFont="1" applyFill="1" applyBorder="1" applyAlignment="1">
      <alignment horizontal="center"/>
    </xf>
    <xf numFmtId="9" fontId="4" fillId="0" borderId="0" xfId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4" fontId="5" fillId="0" borderId="0" xfId="0" applyNumberFormat="1" applyFont="1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4">
    <cellStyle name="Comma 2" xfId="3" xr:uid="{FB1632E4-CCEB-46F1-961C-877026690439}"/>
    <cellStyle name="Comma 3" xfId="2" xr:uid="{29EF5C1B-6FB4-46A0-8301-6AFE7474041B}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79175-7FD7-4891-A7A1-2B717FDD23C1}">
  <sheetPr codeName="Sheet1"/>
  <dimension ref="A1:AL50"/>
  <sheetViews>
    <sheetView showGridLines="0" tabSelected="1" zoomScale="85" zoomScaleNormal="85" workbookViewId="0"/>
  </sheetViews>
  <sheetFormatPr defaultRowHeight="15" x14ac:dyDescent="0.25"/>
  <cols>
    <col min="1" max="1" width="17.5703125" bestFit="1" customWidth="1"/>
    <col min="2" max="2" width="18.28515625" bestFit="1" customWidth="1"/>
    <col min="3" max="3" width="17.28515625" bestFit="1" customWidth="1"/>
    <col min="4" max="4" width="15.7109375" bestFit="1" customWidth="1"/>
    <col min="5" max="5" width="20.42578125" bestFit="1" customWidth="1"/>
    <col min="6" max="6" width="23" bestFit="1" customWidth="1"/>
    <col min="7" max="7" width="17.5703125" bestFit="1" customWidth="1"/>
    <col min="8" max="8" width="12.28515625" bestFit="1" customWidth="1"/>
    <col min="9" max="9" width="37.140625" bestFit="1" customWidth="1"/>
    <col min="10" max="10" width="31.42578125" bestFit="1" customWidth="1"/>
    <col min="11" max="11" width="18.85546875" bestFit="1" customWidth="1"/>
    <col min="12" max="12" width="10" bestFit="1" customWidth="1"/>
    <col min="13" max="13" width="19.85546875" bestFit="1" customWidth="1"/>
    <col min="14" max="14" width="5.5703125" bestFit="1" customWidth="1"/>
    <col min="15" max="15" width="12.28515625" bestFit="1" customWidth="1"/>
    <col min="16" max="16" width="8.85546875" bestFit="1" customWidth="1"/>
    <col min="17" max="17" width="18" bestFit="1" customWidth="1"/>
    <col min="18" max="18" width="10.85546875" bestFit="1" customWidth="1"/>
    <col min="19" max="19" width="10.5703125" bestFit="1" customWidth="1"/>
    <col min="20" max="20" width="28.5703125" bestFit="1" customWidth="1"/>
    <col min="21" max="21" width="22.140625" bestFit="1" customWidth="1"/>
    <col min="22" max="22" width="15.140625" bestFit="1" customWidth="1"/>
    <col min="23" max="37" width="25.140625" customWidth="1"/>
  </cols>
  <sheetData>
    <row r="1" spans="1:38" s="20" customFormat="1" x14ac:dyDescent="0.25">
      <c r="A1" s="19" t="s">
        <v>0</v>
      </c>
      <c r="B1" s="22" t="s">
        <v>2</v>
      </c>
      <c r="C1" s="22" t="s">
        <v>6</v>
      </c>
      <c r="D1" s="22" t="s">
        <v>7</v>
      </c>
      <c r="E1" s="22" t="s">
        <v>8</v>
      </c>
      <c r="F1" s="22" t="s">
        <v>9</v>
      </c>
      <c r="G1" s="22" t="s">
        <v>10</v>
      </c>
      <c r="H1" s="22" t="s">
        <v>11</v>
      </c>
      <c r="I1" s="22" t="s">
        <v>59</v>
      </c>
      <c r="J1" s="22" t="s">
        <v>12</v>
      </c>
      <c r="K1" s="22" t="s">
        <v>13</v>
      </c>
      <c r="L1" s="22" t="s">
        <v>14</v>
      </c>
      <c r="M1" s="22" t="s">
        <v>15</v>
      </c>
      <c r="N1" s="22" t="s">
        <v>3</v>
      </c>
      <c r="O1" s="22" t="s">
        <v>16</v>
      </c>
      <c r="P1" s="22" t="s">
        <v>17</v>
      </c>
      <c r="Q1" s="19" t="s">
        <v>5</v>
      </c>
      <c r="R1" s="22" t="s">
        <v>1</v>
      </c>
      <c r="S1" s="22" t="s">
        <v>18</v>
      </c>
      <c r="T1" s="22" t="s">
        <v>42</v>
      </c>
      <c r="U1" s="22" t="s">
        <v>43</v>
      </c>
      <c r="V1" s="22" t="s">
        <v>4</v>
      </c>
      <c r="W1" s="21"/>
      <c r="AL1" s="21" t="s">
        <v>19</v>
      </c>
    </row>
    <row r="2" spans="1:38" ht="15" customHeight="1" x14ac:dyDescent="0.25">
      <c r="A2" s="8" t="s">
        <v>44</v>
      </c>
      <c r="B2" s="4">
        <v>500000001</v>
      </c>
      <c r="C2" s="4">
        <v>261377051.14999998</v>
      </c>
      <c r="D2" s="4">
        <v>316953963.49000001</v>
      </c>
      <c r="E2" s="9">
        <v>45107</v>
      </c>
      <c r="F2" s="9">
        <v>45838</v>
      </c>
      <c r="G2" s="9">
        <v>46172</v>
      </c>
      <c r="H2" s="4">
        <v>316953963.49000001</v>
      </c>
      <c r="I2" s="10">
        <v>0.16500000000000001</v>
      </c>
      <c r="J2" s="11">
        <v>0</v>
      </c>
      <c r="K2" s="12">
        <v>0.9</v>
      </c>
      <c r="L2" s="11">
        <v>8.9999999999999993E-3</v>
      </c>
      <c r="M2" s="13" t="b">
        <v>0</v>
      </c>
      <c r="N2" s="14">
        <v>0.15</v>
      </c>
      <c r="O2" s="14">
        <v>0.08</v>
      </c>
      <c r="P2" s="14" t="s">
        <v>20</v>
      </c>
      <c r="Q2" s="15">
        <v>1309</v>
      </c>
      <c r="R2" s="16">
        <v>0.1326</v>
      </c>
      <c r="S2" s="17" t="s">
        <v>27</v>
      </c>
      <c r="T2" s="18" t="s">
        <v>28</v>
      </c>
      <c r="U2" s="18" t="s">
        <v>29</v>
      </c>
      <c r="V2" s="18" t="s">
        <v>24</v>
      </c>
      <c r="W2" s="1"/>
      <c r="AL2" s="2" t="s">
        <v>19</v>
      </c>
    </row>
    <row r="3" spans="1:38" ht="15" customHeight="1" x14ac:dyDescent="0.25">
      <c r="A3" s="8" t="s">
        <v>45</v>
      </c>
      <c r="B3" s="4">
        <v>500000000</v>
      </c>
      <c r="C3" s="4">
        <v>243495962.97000003</v>
      </c>
      <c r="D3" s="4">
        <v>256009859.81999999</v>
      </c>
      <c r="E3" s="9">
        <v>46418</v>
      </c>
      <c r="F3" s="9">
        <v>47149</v>
      </c>
      <c r="G3" s="9">
        <v>47848</v>
      </c>
      <c r="H3" s="4">
        <v>256009859.81999999</v>
      </c>
      <c r="I3" s="10">
        <v>0.16500000000000001</v>
      </c>
      <c r="J3" s="11">
        <v>0.02</v>
      </c>
      <c r="K3" s="12">
        <v>0.9</v>
      </c>
      <c r="L3" s="11">
        <v>8.9999999999999993E-3</v>
      </c>
      <c r="M3" s="13" t="b">
        <v>0</v>
      </c>
      <c r="N3" s="14">
        <v>0.18</v>
      </c>
      <c r="O3" s="14">
        <v>0.08</v>
      </c>
      <c r="P3" s="14" t="s">
        <v>20</v>
      </c>
      <c r="Q3" s="15">
        <v>2849</v>
      </c>
      <c r="R3" s="16">
        <v>0.12792000000000001</v>
      </c>
      <c r="S3" s="17" t="s">
        <v>27</v>
      </c>
      <c r="T3" s="18" t="s">
        <v>28</v>
      </c>
      <c r="U3" s="18" t="s">
        <v>29</v>
      </c>
      <c r="V3" s="18" t="s">
        <v>24</v>
      </c>
      <c r="W3" s="1"/>
      <c r="AL3" s="2" t="s">
        <v>19</v>
      </c>
    </row>
    <row r="4" spans="1:38" ht="15" customHeight="1" x14ac:dyDescent="0.25">
      <c r="A4" s="8" t="s">
        <v>46</v>
      </c>
      <c r="B4" s="4">
        <v>500000000</v>
      </c>
      <c r="C4" s="4">
        <v>371830007.36000001</v>
      </c>
      <c r="D4" s="4">
        <v>140875589.47</v>
      </c>
      <c r="E4" s="9">
        <v>47026</v>
      </c>
      <c r="F4" s="9">
        <v>47208</v>
      </c>
      <c r="G4" s="9">
        <v>48792</v>
      </c>
      <c r="H4" s="4">
        <v>140875589.47</v>
      </c>
      <c r="I4" s="10">
        <v>0.18</v>
      </c>
      <c r="J4" s="11">
        <v>0</v>
      </c>
      <c r="K4" s="12">
        <v>0.7</v>
      </c>
      <c r="L4" s="11">
        <v>0.01</v>
      </c>
      <c r="M4" s="13" t="b">
        <v>1</v>
      </c>
      <c r="N4" s="14">
        <v>0.125</v>
      </c>
      <c r="O4" s="14">
        <v>7.0000000000000007E-2</v>
      </c>
      <c r="P4" s="14" t="s">
        <v>20</v>
      </c>
      <c r="Q4" s="15">
        <v>2909</v>
      </c>
      <c r="R4" s="16">
        <v>0.14874999999999999</v>
      </c>
      <c r="S4" s="17" t="s">
        <v>21</v>
      </c>
      <c r="T4" s="18" t="s">
        <v>22</v>
      </c>
      <c r="U4" s="18" t="s">
        <v>23</v>
      </c>
      <c r="V4" s="18" t="s">
        <v>24</v>
      </c>
      <c r="W4" s="1"/>
      <c r="AL4" s="2" t="s">
        <v>19</v>
      </c>
    </row>
    <row r="5" spans="1:38" ht="15" customHeight="1" x14ac:dyDescent="0.25">
      <c r="A5" s="8" t="s">
        <v>47</v>
      </c>
      <c r="B5" s="4">
        <v>590962625</v>
      </c>
      <c r="C5" s="4">
        <v>590962625</v>
      </c>
      <c r="D5" s="4">
        <v>-13785650.949999999</v>
      </c>
      <c r="E5" s="9">
        <v>46783</v>
      </c>
      <c r="F5" s="9">
        <v>47330</v>
      </c>
      <c r="G5" s="9">
        <v>47664</v>
      </c>
      <c r="H5" s="4">
        <v>-13785650.949999999</v>
      </c>
      <c r="I5" s="10">
        <v>0.18</v>
      </c>
      <c r="J5" s="11">
        <v>0</v>
      </c>
      <c r="K5" s="12">
        <v>0.85</v>
      </c>
      <c r="L5" s="11">
        <v>9.9000000000000008E-3</v>
      </c>
      <c r="M5" s="13" t="b">
        <v>1</v>
      </c>
      <c r="N5" s="14">
        <v>0.18</v>
      </c>
      <c r="O5" s="14">
        <v>0.08</v>
      </c>
      <c r="P5" s="14" t="s">
        <v>20</v>
      </c>
      <c r="Q5" s="15">
        <v>2886</v>
      </c>
      <c r="R5" s="16">
        <v>0.13948200000000002</v>
      </c>
      <c r="S5" s="17" t="s">
        <v>21</v>
      </c>
      <c r="T5" s="18" t="s">
        <v>22</v>
      </c>
      <c r="U5" s="18" t="s">
        <v>23</v>
      </c>
      <c r="V5" s="18" t="s">
        <v>24</v>
      </c>
      <c r="W5" s="3"/>
      <c r="AL5" s="2" t="s">
        <v>19</v>
      </c>
    </row>
    <row r="6" spans="1:38" ht="15" customHeight="1" x14ac:dyDescent="0.25">
      <c r="A6" s="8" t="s">
        <v>48</v>
      </c>
      <c r="B6" s="4">
        <v>230600000</v>
      </c>
      <c r="C6" s="4">
        <v>116329684.94</v>
      </c>
      <c r="D6" s="4">
        <v>97938940.539999992</v>
      </c>
      <c r="E6" s="9">
        <v>46053</v>
      </c>
      <c r="F6" s="9">
        <v>46752</v>
      </c>
      <c r="G6" s="9">
        <v>46783</v>
      </c>
      <c r="H6" s="4">
        <v>97938940.539999992</v>
      </c>
      <c r="I6" s="10">
        <v>0.17</v>
      </c>
      <c r="J6" s="11">
        <v>0</v>
      </c>
      <c r="K6" s="12">
        <v>0.8</v>
      </c>
      <c r="L6" s="11">
        <v>1.7999999999999999E-2</v>
      </c>
      <c r="M6" s="13" t="b">
        <v>1</v>
      </c>
      <c r="N6" s="14">
        <v>0.2</v>
      </c>
      <c r="O6" s="14">
        <v>0.08</v>
      </c>
      <c r="P6" s="14" t="s">
        <v>20</v>
      </c>
      <c r="Q6" s="15">
        <v>2799</v>
      </c>
      <c r="R6" s="16">
        <v>0.12160000000000003</v>
      </c>
      <c r="S6" s="17" t="s">
        <v>21</v>
      </c>
      <c r="T6" s="18" t="s">
        <v>22</v>
      </c>
      <c r="U6" s="18" t="s">
        <v>40</v>
      </c>
      <c r="V6" s="18" t="s">
        <v>24</v>
      </c>
      <c r="W6" s="1"/>
      <c r="AL6" s="2" t="s">
        <v>19</v>
      </c>
    </row>
    <row r="7" spans="1:38" ht="15" customHeight="1" x14ac:dyDescent="0.25">
      <c r="A7" s="8" t="s">
        <v>49</v>
      </c>
      <c r="B7" s="4">
        <v>579200000</v>
      </c>
      <c r="C7" s="4">
        <v>99395647.920000002</v>
      </c>
      <c r="D7" s="4">
        <v>479804352.07999998</v>
      </c>
      <c r="E7" s="9">
        <v>48610</v>
      </c>
      <c r="F7" s="9">
        <v>49674</v>
      </c>
      <c r="G7" s="9">
        <v>50436</v>
      </c>
      <c r="H7" s="4">
        <v>898897059.16999996</v>
      </c>
      <c r="I7" s="10">
        <v>0.17</v>
      </c>
      <c r="J7" s="11">
        <v>0</v>
      </c>
      <c r="K7" s="12">
        <v>0.8</v>
      </c>
      <c r="L7" s="11">
        <v>1.7500000000000002E-2</v>
      </c>
      <c r="M7" s="13" t="b">
        <v>0</v>
      </c>
      <c r="N7" s="14">
        <v>0.17499999999999999</v>
      </c>
      <c r="O7" s="14">
        <v>0.08</v>
      </c>
      <c r="P7" s="14" t="s">
        <v>20</v>
      </c>
      <c r="Q7" s="15">
        <v>2908</v>
      </c>
      <c r="R7" s="16">
        <v>0.12581250000000002</v>
      </c>
      <c r="S7" s="17" t="s">
        <v>21</v>
      </c>
      <c r="T7" s="18" t="s">
        <v>25</v>
      </c>
      <c r="U7" s="18" t="s">
        <v>26</v>
      </c>
      <c r="V7" s="18" t="s">
        <v>24</v>
      </c>
      <c r="W7" s="1"/>
      <c r="AL7" s="2"/>
    </row>
    <row r="8" spans="1:38" ht="15" customHeight="1" x14ac:dyDescent="0.25">
      <c r="A8" s="8" t="s">
        <v>50</v>
      </c>
      <c r="B8" s="4">
        <v>200000000</v>
      </c>
      <c r="C8" s="4">
        <v>132106147.19</v>
      </c>
      <c r="D8" s="4">
        <v>57961525.82</v>
      </c>
      <c r="E8" s="9">
        <v>44592</v>
      </c>
      <c r="F8" s="9">
        <v>45657</v>
      </c>
      <c r="G8" s="9">
        <v>46418</v>
      </c>
      <c r="H8" s="4">
        <v>57961525.82</v>
      </c>
      <c r="I8" s="10">
        <v>0.15</v>
      </c>
      <c r="J8" s="11">
        <v>0.08</v>
      </c>
      <c r="K8" s="12">
        <v>0.8</v>
      </c>
      <c r="L8" s="11">
        <v>0.01</v>
      </c>
      <c r="M8" s="13" t="b">
        <v>0</v>
      </c>
      <c r="N8" s="14">
        <v>0.2</v>
      </c>
      <c r="O8" s="14">
        <v>0.08</v>
      </c>
      <c r="P8" s="14" t="s">
        <v>20</v>
      </c>
      <c r="Q8" s="15">
        <v>2842</v>
      </c>
      <c r="R8" s="16">
        <v>0.11199999999999999</v>
      </c>
      <c r="S8" s="17" t="s">
        <v>27</v>
      </c>
      <c r="T8" s="18" t="s">
        <v>35</v>
      </c>
      <c r="U8" s="18" t="s">
        <v>39</v>
      </c>
      <c r="V8" s="18" t="s">
        <v>24</v>
      </c>
      <c r="W8" s="1"/>
      <c r="AL8" s="2" t="s">
        <v>19</v>
      </c>
    </row>
    <row r="9" spans="1:38" ht="15" customHeight="1" x14ac:dyDescent="0.25">
      <c r="A9" s="8" t="s">
        <v>51</v>
      </c>
      <c r="B9" s="4">
        <v>500000000</v>
      </c>
      <c r="C9" s="4">
        <v>500000000</v>
      </c>
      <c r="D9" s="4">
        <v>0</v>
      </c>
      <c r="E9" s="9">
        <v>47118</v>
      </c>
      <c r="F9" s="9">
        <v>47817</v>
      </c>
      <c r="G9" s="9">
        <v>47848</v>
      </c>
      <c r="H9" s="4">
        <v>0</v>
      </c>
      <c r="I9" s="10">
        <v>0.13</v>
      </c>
      <c r="J9" s="11">
        <v>0.08</v>
      </c>
      <c r="K9" s="12">
        <v>0.9</v>
      </c>
      <c r="L9" s="11">
        <v>5.4000000000000003E-3</v>
      </c>
      <c r="M9" s="13" t="b">
        <v>0</v>
      </c>
      <c r="N9" s="14">
        <v>0.09</v>
      </c>
      <c r="O9" s="14">
        <v>0.06</v>
      </c>
      <c r="P9" s="14" t="s">
        <v>20</v>
      </c>
      <c r="Q9" s="15">
        <v>100008</v>
      </c>
      <c r="R9" s="16">
        <v>0.113386</v>
      </c>
      <c r="S9" s="17" t="s">
        <v>30</v>
      </c>
      <c r="T9" s="18" t="s">
        <v>35</v>
      </c>
      <c r="U9" s="18" t="s">
        <v>37</v>
      </c>
      <c r="V9" s="18" t="s">
        <v>24</v>
      </c>
      <c r="AL9" s="2" t="s">
        <v>19</v>
      </c>
    </row>
    <row r="10" spans="1:38" ht="15" customHeight="1" x14ac:dyDescent="0.25">
      <c r="A10" s="8" t="s">
        <v>52</v>
      </c>
      <c r="B10" s="4">
        <v>300000000</v>
      </c>
      <c r="C10" s="4">
        <v>130988024.35999998</v>
      </c>
      <c r="D10" s="4">
        <v>179968213.54999965</v>
      </c>
      <c r="E10" s="9">
        <v>46387</v>
      </c>
      <c r="F10" s="9">
        <v>46387</v>
      </c>
      <c r="G10" s="9">
        <v>46783</v>
      </c>
      <c r="H10" s="4">
        <v>179968213.54999965</v>
      </c>
      <c r="I10" s="10">
        <v>0.16</v>
      </c>
      <c r="J10" s="11">
        <v>0</v>
      </c>
      <c r="K10" s="12">
        <v>0.85</v>
      </c>
      <c r="L10" s="11">
        <v>4.4999999999999997E-3</v>
      </c>
      <c r="M10" s="13" t="b">
        <v>0</v>
      </c>
      <c r="N10" s="14">
        <v>0.1125</v>
      </c>
      <c r="O10" s="14">
        <v>0.06</v>
      </c>
      <c r="P10" s="14" t="s">
        <v>20</v>
      </c>
      <c r="Q10" s="15">
        <v>2796</v>
      </c>
      <c r="R10" s="16">
        <v>0.13800625</v>
      </c>
      <c r="S10" s="17" t="s">
        <v>27</v>
      </c>
      <c r="T10" s="18" t="s">
        <v>35</v>
      </c>
      <c r="U10" s="18" t="s">
        <v>36</v>
      </c>
      <c r="V10" s="18" t="s">
        <v>24</v>
      </c>
      <c r="W10" s="1"/>
      <c r="AL10" s="2" t="s">
        <v>19</v>
      </c>
    </row>
    <row r="11" spans="1:38" ht="15" customHeight="1" x14ac:dyDescent="0.25">
      <c r="A11" s="8" t="s">
        <v>53</v>
      </c>
      <c r="B11" s="4">
        <v>262500000</v>
      </c>
      <c r="C11" s="4">
        <v>101050105.27</v>
      </c>
      <c r="D11" s="4">
        <v>202500000.00000012</v>
      </c>
      <c r="E11" s="9">
        <v>46234</v>
      </c>
      <c r="F11" s="9">
        <v>46234</v>
      </c>
      <c r="G11" s="9">
        <v>47664</v>
      </c>
      <c r="H11" s="4">
        <v>242151933.38</v>
      </c>
      <c r="I11" s="10">
        <v>0.15</v>
      </c>
      <c r="J11" s="11">
        <v>0</v>
      </c>
      <c r="K11" s="12">
        <v>1</v>
      </c>
      <c r="L11" s="11">
        <v>7.0000000000000001E-3</v>
      </c>
      <c r="M11" s="13" t="b">
        <v>0</v>
      </c>
      <c r="N11" s="14">
        <v>0.09</v>
      </c>
      <c r="O11" s="14">
        <v>0.06</v>
      </c>
      <c r="P11" s="14" t="s">
        <v>20</v>
      </c>
      <c r="Q11" s="15">
        <v>1854</v>
      </c>
      <c r="R11" s="16">
        <v>0.13013</v>
      </c>
      <c r="S11" s="17" t="s">
        <v>30</v>
      </c>
      <c r="T11" s="18" t="s">
        <v>35</v>
      </c>
      <c r="U11" s="18" t="s">
        <v>37</v>
      </c>
      <c r="V11" s="18" t="s">
        <v>24</v>
      </c>
      <c r="W11" s="1"/>
      <c r="AL11" s="2" t="s">
        <v>19</v>
      </c>
    </row>
    <row r="12" spans="1:38" ht="15" customHeight="1" x14ac:dyDescent="0.25">
      <c r="A12" s="8" t="s">
        <v>60</v>
      </c>
      <c r="B12" s="4">
        <v>315000000</v>
      </c>
      <c r="C12" s="4">
        <v>11150000</v>
      </c>
      <c r="D12" s="4">
        <v>315000000</v>
      </c>
      <c r="E12" s="9">
        <v>45596</v>
      </c>
      <c r="F12" s="9">
        <v>47026</v>
      </c>
      <c r="G12" s="9">
        <v>47787</v>
      </c>
      <c r="H12" s="4">
        <v>317221143.51999998</v>
      </c>
      <c r="I12" s="10">
        <v>0.11</v>
      </c>
      <c r="J12" s="11">
        <v>5.0999999999999997E-2</v>
      </c>
      <c r="K12" s="12">
        <v>1</v>
      </c>
      <c r="L12" s="11">
        <v>6.0000000000000001E-3</v>
      </c>
      <c r="M12" s="13" t="b">
        <v>0</v>
      </c>
      <c r="N12" s="14">
        <v>0.1</v>
      </c>
      <c r="O12" s="14">
        <v>0.08</v>
      </c>
      <c r="P12" s="14" t="s">
        <v>20</v>
      </c>
      <c r="Q12" s="15">
        <v>2905</v>
      </c>
      <c r="R12" s="16">
        <v>9.3600000000000003E-2</v>
      </c>
      <c r="S12" s="17" t="s">
        <v>30</v>
      </c>
      <c r="T12" s="18" t="s">
        <v>31</v>
      </c>
      <c r="U12" s="18" t="s">
        <v>33</v>
      </c>
      <c r="V12" s="18" t="s">
        <v>34</v>
      </c>
      <c r="W12" s="1"/>
      <c r="AL12" s="2" t="s">
        <v>19</v>
      </c>
    </row>
    <row r="13" spans="1:38" ht="15" customHeight="1" x14ac:dyDescent="0.25">
      <c r="A13" s="8" t="s">
        <v>54</v>
      </c>
      <c r="B13" s="4">
        <v>200000000</v>
      </c>
      <c r="C13" s="4">
        <v>113584460.16999999</v>
      </c>
      <c r="D13" s="4">
        <v>101278704.26000001</v>
      </c>
      <c r="E13" s="9">
        <v>46418</v>
      </c>
      <c r="F13" s="9">
        <v>46721</v>
      </c>
      <c r="G13" s="9">
        <v>47057</v>
      </c>
      <c r="H13" s="4">
        <v>101278704.26000001</v>
      </c>
      <c r="I13" s="10">
        <v>0.17</v>
      </c>
      <c r="J13" s="11">
        <v>0.05</v>
      </c>
      <c r="K13" s="12">
        <v>0.8</v>
      </c>
      <c r="L13" s="11">
        <v>1.2500000000000001E-2</v>
      </c>
      <c r="M13" s="13" t="b">
        <v>1</v>
      </c>
      <c r="N13" s="14">
        <v>0.2</v>
      </c>
      <c r="O13" s="14">
        <v>0.08</v>
      </c>
      <c r="P13" s="14" t="s">
        <v>20</v>
      </c>
      <c r="Q13" s="15">
        <v>2903</v>
      </c>
      <c r="R13" s="16">
        <v>0.126</v>
      </c>
      <c r="S13" s="17" t="s">
        <v>21</v>
      </c>
      <c r="T13" s="18" t="s">
        <v>31</v>
      </c>
      <c r="U13" s="18" t="s">
        <v>33</v>
      </c>
      <c r="V13" s="18" t="s">
        <v>24</v>
      </c>
      <c r="W13" s="1"/>
      <c r="AL13" s="2" t="s">
        <v>19</v>
      </c>
    </row>
    <row r="14" spans="1:38" ht="15" customHeight="1" x14ac:dyDescent="0.25">
      <c r="A14" s="8" t="s">
        <v>55</v>
      </c>
      <c r="B14" s="4">
        <v>146299527</v>
      </c>
      <c r="C14" s="4">
        <v>52536805.530000001</v>
      </c>
      <c r="D14" s="4">
        <v>146299527</v>
      </c>
      <c r="E14" s="9">
        <v>45869</v>
      </c>
      <c r="F14" s="9">
        <v>46022</v>
      </c>
      <c r="G14" s="9">
        <v>46783</v>
      </c>
      <c r="H14" s="4">
        <v>188830520.70000002</v>
      </c>
      <c r="I14" s="10">
        <v>0.13</v>
      </c>
      <c r="J14" s="11">
        <v>7.0000000000000007E-2</v>
      </c>
      <c r="K14" s="12">
        <v>0.75</v>
      </c>
      <c r="L14" s="11">
        <v>6.0000000000000001E-3</v>
      </c>
      <c r="M14" s="13" t="b">
        <v>0</v>
      </c>
      <c r="N14" s="14">
        <v>0.1</v>
      </c>
      <c r="O14" s="14">
        <v>0.08</v>
      </c>
      <c r="P14" s="14" t="s">
        <v>20</v>
      </c>
      <c r="Q14" s="15">
        <v>47</v>
      </c>
      <c r="R14" s="16">
        <v>0.1116</v>
      </c>
      <c r="S14" s="17" t="s">
        <v>21</v>
      </c>
      <c r="T14" s="18" t="s">
        <v>31</v>
      </c>
      <c r="U14" s="18" t="s">
        <v>33</v>
      </c>
      <c r="V14" s="18" t="s">
        <v>24</v>
      </c>
      <c r="W14" s="1"/>
      <c r="AL14" s="2" t="s">
        <v>19</v>
      </c>
    </row>
    <row r="15" spans="1:38" ht="15" customHeight="1" x14ac:dyDescent="0.25">
      <c r="A15" s="8" t="s">
        <v>56</v>
      </c>
      <c r="B15" s="4">
        <v>70000000</v>
      </c>
      <c r="C15" s="4">
        <v>33393104</v>
      </c>
      <c r="D15" s="4">
        <v>26818047</v>
      </c>
      <c r="E15" s="9">
        <v>46599</v>
      </c>
      <c r="F15" s="9">
        <v>47299</v>
      </c>
      <c r="G15" s="9">
        <v>47330</v>
      </c>
      <c r="H15" s="4">
        <v>26818047</v>
      </c>
      <c r="I15" s="10">
        <v>0.17</v>
      </c>
      <c r="J15" s="11">
        <v>0</v>
      </c>
      <c r="K15" s="12">
        <v>0.9</v>
      </c>
      <c r="L15" s="11">
        <v>1.2500000000000001E-2</v>
      </c>
      <c r="M15" s="13" t="b">
        <v>1</v>
      </c>
      <c r="N15" s="14">
        <v>0.2</v>
      </c>
      <c r="O15" s="14">
        <v>0.08</v>
      </c>
      <c r="P15" s="14" t="s">
        <v>41</v>
      </c>
      <c r="Q15" s="15">
        <v>2795</v>
      </c>
      <c r="R15" s="16">
        <v>0.126</v>
      </c>
      <c r="S15" s="17" t="s">
        <v>27</v>
      </c>
      <c r="T15" s="18" t="s">
        <v>31</v>
      </c>
      <c r="U15" s="18" t="s">
        <v>33</v>
      </c>
      <c r="V15" s="18" t="s">
        <v>38</v>
      </c>
      <c r="W15" s="1"/>
      <c r="AL15" s="2" t="s">
        <v>19</v>
      </c>
    </row>
    <row r="16" spans="1:38" ht="15" customHeight="1" x14ac:dyDescent="0.25">
      <c r="A16" s="8" t="s">
        <v>57</v>
      </c>
      <c r="B16" s="4">
        <v>325000000</v>
      </c>
      <c r="C16" s="4">
        <v>257241089.62</v>
      </c>
      <c r="D16" s="4">
        <v>70709774.299999997</v>
      </c>
      <c r="E16" s="9">
        <v>46783</v>
      </c>
      <c r="F16" s="9">
        <v>47149</v>
      </c>
      <c r="G16" s="9">
        <v>47483</v>
      </c>
      <c r="H16" s="4">
        <v>70709774.299999997</v>
      </c>
      <c r="I16" s="10">
        <v>0.15</v>
      </c>
      <c r="J16" s="11">
        <v>0.05</v>
      </c>
      <c r="K16" s="12">
        <v>0.9</v>
      </c>
      <c r="L16" s="11">
        <v>0.01</v>
      </c>
      <c r="M16" s="13" t="b">
        <v>1</v>
      </c>
      <c r="N16" s="14">
        <v>0.2</v>
      </c>
      <c r="O16" s="14">
        <v>0.08</v>
      </c>
      <c r="P16" s="14" t="s">
        <v>20</v>
      </c>
      <c r="Q16" s="15">
        <v>2871</v>
      </c>
      <c r="R16" s="16">
        <v>0.11199999999999999</v>
      </c>
      <c r="S16" s="17" t="s">
        <v>27</v>
      </c>
      <c r="T16" s="18" t="s">
        <v>31</v>
      </c>
      <c r="U16" s="18" t="s">
        <v>32</v>
      </c>
      <c r="V16" s="18" t="s">
        <v>24</v>
      </c>
      <c r="W16" s="1"/>
      <c r="AL16" s="2" t="s">
        <v>19</v>
      </c>
    </row>
    <row r="17" spans="1:38" ht="15" customHeight="1" x14ac:dyDescent="0.25">
      <c r="A17" s="8" t="s">
        <v>58</v>
      </c>
      <c r="B17" s="4">
        <v>278640423.77999997</v>
      </c>
      <c r="C17" s="4">
        <v>37014467.560000002</v>
      </c>
      <c r="D17" s="4">
        <v>72923862.099999994</v>
      </c>
      <c r="E17" s="9">
        <v>44227</v>
      </c>
      <c r="F17" s="9">
        <v>44957</v>
      </c>
      <c r="G17" s="9">
        <v>46022</v>
      </c>
      <c r="H17" s="4">
        <v>72923862.099999994</v>
      </c>
      <c r="I17" s="10">
        <v>0.14499999999999999</v>
      </c>
      <c r="J17" s="11">
        <v>0.08</v>
      </c>
      <c r="K17" s="12">
        <v>0.95</v>
      </c>
      <c r="L17" s="11">
        <v>5.0000000000000001E-3</v>
      </c>
      <c r="M17" s="13" t="b">
        <v>0</v>
      </c>
      <c r="N17" s="14">
        <v>0.1</v>
      </c>
      <c r="O17" s="14">
        <v>0.08</v>
      </c>
      <c r="P17" s="14" t="s">
        <v>20</v>
      </c>
      <c r="Q17" s="15">
        <v>2853</v>
      </c>
      <c r="R17" s="16">
        <v>0.126</v>
      </c>
      <c r="S17" s="17" t="s">
        <v>27</v>
      </c>
      <c r="T17" s="18" t="s">
        <v>31</v>
      </c>
      <c r="U17" s="18" t="s">
        <v>32</v>
      </c>
      <c r="V17" s="18" t="s">
        <v>24</v>
      </c>
      <c r="W17" s="1"/>
      <c r="AL17" s="2" t="s">
        <v>19</v>
      </c>
    </row>
    <row r="18" spans="1:38" x14ac:dyDescent="0.25">
      <c r="A18" s="8" t="s">
        <v>61</v>
      </c>
      <c r="B18" s="4">
        <v>250000000</v>
      </c>
      <c r="C18" s="4">
        <v>78</v>
      </c>
      <c r="D18" s="4">
        <v>102430077.03</v>
      </c>
      <c r="E18" s="9">
        <v>46568</v>
      </c>
      <c r="F18" s="9">
        <v>46934</v>
      </c>
      <c r="G18" s="9">
        <v>47664</v>
      </c>
      <c r="H18" s="4">
        <v>102430077.03</v>
      </c>
      <c r="I18" s="10">
        <v>0.16500000000000001</v>
      </c>
      <c r="J18" s="11">
        <v>0.08</v>
      </c>
      <c r="K18" s="12">
        <v>0.85</v>
      </c>
      <c r="L18" s="11">
        <v>7.4999999999999997E-3</v>
      </c>
      <c r="M18" s="13" t="b">
        <v>0</v>
      </c>
      <c r="N18" s="14">
        <v>0.12</v>
      </c>
      <c r="O18" s="14">
        <v>0.08</v>
      </c>
      <c r="P18" s="14" t="s">
        <v>20</v>
      </c>
      <c r="Q18" s="15">
        <v>5</v>
      </c>
      <c r="R18" s="16">
        <f t="shared" ref="R18" si="0">+(J18-M18)*(1-O18)</f>
        <v>7.3599999999999999E-2</v>
      </c>
      <c r="S18" s="17" t="s">
        <v>21</v>
      </c>
      <c r="T18" s="18" t="s">
        <v>31</v>
      </c>
      <c r="U18" s="18" t="s">
        <v>32</v>
      </c>
      <c r="V18" s="18" t="s">
        <v>24</v>
      </c>
    </row>
    <row r="21" spans="1:38" x14ac:dyDescent="0.25">
      <c r="C21" s="5"/>
      <c r="E21" s="7"/>
      <c r="F21" s="7"/>
      <c r="G21" s="7"/>
    </row>
    <row r="22" spans="1:38" x14ac:dyDescent="0.25">
      <c r="C22" s="6"/>
      <c r="E22" s="7"/>
      <c r="F22" s="7"/>
      <c r="G22" s="7"/>
    </row>
    <row r="23" spans="1:38" x14ac:dyDescent="0.25">
      <c r="E23" s="7"/>
      <c r="F23" s="7"/>
      <c r="G23" s="7"/>
    </row>
    <row r="24" spans="1:38" x14ac:dyDescent="0.25">
      <c r="E24" s="7"/>
      <c r="F24" s="7"/>
      <c r="G24" s="7"/>
    </row>
    <row r="25" spans="1:38" x14ac:dyDescent="0.25">
      <c r="E25" s="7"/>
      <c r="F25" s="7"/>
      <c r="G25" s="7"/>
    </row>
    <row r="26" spans="1:38" x14ac:dyDescent="0.25">
      <c r="E26" s="7"/>
      <c r="F26" s="7"/>
      <c r="G26" s="7"/>
    </row>
    <row r="27" spans="1:38" x14ac:dyDescent="0.25">
      <c r="E27" s="7"/>
      <c r="F27" s="7"/>
      <c r="G27" s="7"/>
    </row>
    <row r="28" spans="1:38" x14ac:dyDescent="0.25">
      <c r="E28" s="7"/>
      <c r="F28" s="7"/>
      <c r="G28" s="7"/>
    </row>
    <row r="29" spans="1:38" x14ac:dyDescent="0.25">
      <c r="E29" s="7"/>
      <c r="F29" s="7"/>
      <c r="G29" s="7"/>
    </row>
    <row r="30" spans="1:38" x14ac:dyDescent="0.25">
      <c r="E30" s="7"/>
      <c r="F30" s="7"/>
      <c r="G30" s="7"/>
    </row>
    <row r="31" spans="1:38" x14ac:dyDescent="0.25">
      <c r="E31" s="7"/>
      <c r="F31" s="7"/>
      <c r="G31" s="7"/>
    </row>
    <row r="32" spans="1:38" x14ac:dyDescent="0.25">
      <c r="E32" s="7"/>
      <c r="F32" s="7"/>
      <c r="G32" s="7"/>
    </row>
    <row r="33" spans="5:7" x14ac:dyDescent="0.25">
      <c r="E33" s="7"/>
      <c r="F33" s="7"/>
      <c r="G33" s="7"/>
    </row>
    <row r="34" spans="5:7" x14ac:dyDescent="0.25">
      <c r="E34" s="7"/>
      <c r="F34" s="7"/>
      <c r="G34" s="7"/>
    </row>
    <row r="35" spans="5:7" x14ac:dyDescent="0.25">
      <c r="E35" s="7"/>
      <c r="F35" s="7"/>
      <c r="G35" s="7"/>
    </row>
    <row r="36" spans="5:7" x14ac:dyDescent="0.25">
      <c r="E36" s="7"/>
      <c r="F36" s="7"/>
      <c r="G36" s="7"/>
    </row>
    <row r="37" spans="5:7" x14ac:dyDescent="0.25">
      <c r="E37" s="7"/>
    </row>
    <row r="38" spans="5:7" x14ac:dyDescent="0.25">
      <c r="E38" s="7"/>
    </row>
    <row r="39" spans="5:7" x14ac:dyDescent="0.25">
      <c r="E39" s="7"/>
    </row>
    <row r="40" spans="5:7" x14ac:dyDescent="0.25">
      <c r="E40" s="7"/>
    </row>
    <row r="41" spans="5:7" x14ac:dyDescent="0.25">
      <c r="E41" s="7"/>
    </row>
    <row r="42" spans="5:7" x14ac:dyDescent="0.25">
      <c r="E42" s="7"/>
    </row>
    <row r="43" spans="5:7" x14ac:dyDescent="0.25">
      <c r="E43" s="7"/>
    </row>
    <row r="44" spans="5:7" x14ac:dyDescent="0.25">
      <c r="E44" s="7"/>
    </row>
    <row r="45" spans="5:7" x14ac:dyDescent="0.25">
      <c r="E45" s="7"/>
    </row>
    <row r="46" spans="5:7" x14ac:dyDescent="0.25">
      <c r="E46" s="7"/>
    </row>
    <row r="47" spans="5:7" x14ac:dyDescent="0.25">
      <c r="E47" s="7"/>
    </row>
    <row r="48" spans="5:7" x14ac:dyDescent="0.25">
      <c r="E48" s="7"/>
    </row>
    <row r="49" spans="5:5" x14ac:dyDescent="0.25">
      <c r="E49" s="7"/>
    </row>
    <row r="50" spans="5:5" x14ac:dyDescent="0.25">
      <c r="E5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Fund 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Chan</dc:creator>
  <cp:lastModifiedBy>Drew Peterson</cp:lastModifiedBy>
  <dcterms:created xsi:type="dcterms:W3CDTF">2023-06-27T17:46:28Z</dcterms:created>
  <dcterms:modified xsi:type="dcterms:W3CDTF">2026-05-16T20:29:02Z</dcterms:modified>
</cp:coreProperties>
</file>