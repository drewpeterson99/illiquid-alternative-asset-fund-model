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34ef0feffdd206/Documents/Career/Job Application/JDs ^0 Case Studies/Apollo/"/>
    </mc:Choice>
  </mc:AlternateContent>
  <xr:revisionPtr revIDLastSave="265" documentId="8_{897E9B33-12E1-48E9-A98D-B3AE10D17FE2}" xr6:coauthVersionLast="47" xr6:coauthVersionMax="47" xr10:uidLastSave="{F5E27044-D0F5-4347-B9D9-915E9CA77F81}"/>
  <bookViews>
    <workbookView xWindow="-28920" yWindow="-120" windowWidth="29040" windowHeight="15720" xr2:uid="{9334B90D-CB79-461B-A22D-00B2DD3365E6}"/>
  </bookViews>
  <sheets>
    <sheet name="Model" sheetId="1" r:id="rId1"/>
  </sheets>
  <definedNames>
    <definedName name="_xlnm.Print_Area" localSheetId="0">Model!$C$3:$R$69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Model!#REF!</definedName>
    <definedName name="solver_typ" localSheetId="0" hidden="1">1</definedName>
    <definedName name="solver_val" localSheetId="0" hidden="1">0</definedName>
    <definedName name="solver_ver" localSheetId="0" hidden="1">3</definedName>
    <definedName name="Units">Model!$D$1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9" i="1"/>
  <c r="J26" i="1"/>
  <c r="J25" i="1"/>
  <c r="V33" i="1"/>
  <c r="V32" i="1"/>
  <c r="V31" i="1"/>
  <c r="V30" i="1"/>
  <c r="V29" i="1"/>
  <c r="V28" i="1"/>
  <c r="V27" i="1"/>
  <c r="V13" i="1"/>
  <c r="V12" i="1"/>
  <c r="U13" i="1"/>
  <c r="U12" i="1"/>
  <c r="V20" i="1"/>
  <c r="V14" i="1"/>
  <c r="V11" i="1"/>
  <c r="U11" i="1"/>
  <c r="U17" i="1"/>
  <c r="BW44" i="1"/>
  <c r="U44" i="1"/>
  <c r="V10" i="1"/>
  <c r="J24" i="1"/>
  <c r="U25" i="1"/>
  <c r="G48" i="1"/>
  <c r="G56" i="1"/>
  <c r="G55" i="1"/>
  <c r="G51" i="1"/>
  <c r="G47" i="1"/>
  <c r="G46" i="1"/>
  <c r="U7" i="1"/>
  <c r="P3" i="1"/>
  <c r="E26" i="1"/>
  <c r="E27" i="1"/>
  <c r="E29" i="1"/>
  <c r="O6" i="1"/>
  <c r="K12" i="1"/>
  <c r="V77" i="1"/>
  <c r="W77" i="1" s="1"/>
  <c r="I36" i="1"/>
  <c r="E28" i="1"/>
  <c r="O7" i="1"/>
  <c r="J16" i="1"/>
  <c r="I9" i="1"/>
  <c r="I8" i="1"/>
  <c r="K7" i="1"/>
  <c r="L8" i="1"/>
  <c r="I6" i="1"/>
  <c r="L7" i="1"/>
  <c r="L6" i="1"/>
  <c r="W5" i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HN5" i="1" s="1"/>
  <c r="HO5" i="1" s="1"/>
  <c r="HP5" i="1" s="1"/>
  <c r="HQ5" i="1" s="1"/>
  <c r="HR5" i="1" s="1"/>
  <c r="HS5" i="1" s="1"/>
  <c r="HT5" i="1" s="1"/>
  <c r="HU5" i="1" s="1"/>
  <c r="HV5" i="1" s="1"/>
  <c r="HW5" i="1" s="1"/>
  <c r="HX5" i="1" s="1"/>
  <c r="HY5" i="1" s="1"/>
  <c r="HZ5" i="1" s="1"/>
  <c r="IA5" i="1" s="1"/>
  <c r="IB5" i="1" s="1"/>
  <c r="T4" i="1"/>
  <c r="E3" i="1"/>
  <c r="K10" i="1" l="1"/>
  <c r="K14" i="1"/>
  <c r="K11" i="1"/>
  <c r="U10" i="1"/>
  <c r="U45" i="1"/>
  <c r="U46" i="1" s="1"/>
  <c r="K6" i="1"/>
  <c r="J17" i="1"/>
  <c r="K9" i="1"/>
  <c r="V7" i="1"/>
  <c r="I7" i="1"/>
  <c r="O8" i="1"/>
  <c r="V6" i="1"/>
  <c r="K8" i="1"/>
  <c r="V45" i="1" l="1"/>
  <c r="V46" i="1" s="1"/>
  <c r="V38" i="1"/>
  <c r="W6" i="1"/>
  <c r="G75" i="1"/>
  <c r="K13" i="1"/>
  <c r="U35" i="1"/>
  <c r="V44" i="1"/>
  <c r="W7" i="1"/>
  <c r="T80" i="1"/>
  <c r="U70" i="1"/>
  <c r="K17" i="1"/>
  <c r="J9" i="1"/>
  <c r="J7" i="1"/>
  <c r="J8" i="1"/>
  <c r="V40" i="1" l="1"/>
  <c r="X6" i="1"/>
  <c r="T81" i="1"/>
  <c r="V70" i="1"/>
  <c r="L17" i="1"/>
  <c r="U23" i="1"/>
  <c r="U61" i="1"/>
  <c r="U58" i="1"/>
  <c r="W44" i="1"/>
  <c r="W10" i="1" s="1"/>
  <c r="X7" i="1"/>
  <c r="W45" i="1"/>
  <c r="W46" i="1" s="1"/>
  <c r="W38" i="1"/>
  <c r="V21" i="1" l="1"/>
  <c r="V15" i="1"/>
  <c r="Y6" i="1"/>
  <c r="W11" i="1"/>
  <c r="W70" i="1"/>
  <c r="T82" i="1"/>
  <c r="M17" i="1"/>
  <c r="X44" i="1"/>
  <c r="X10" i="1" s="1"/>
  <c r="Y7" i="1"/>
  <c r="X38" i="1"/>
  <c r="X45" i="1"/>
  <c r="X46" i="1" s="1"/>
  <c r="V16" i="1" l="1"/>
  <c r="W40" i="1" s="1"/>
  <c r="V17" i="1"/>
  <c r="V22" i="1"/>
  <c r="V23" i="1" s="1"/>
  <c r="W28" i="1"/>
  <c r="Z6" i="1"/>
  <c r="Y44" i="1"/>
  <c r="Y10" i="1" s="1"/>
  <c r="Z7" i="1"/>
  <c r="Y45" i="1"/>
  <c r="Y38" i="1"/>
  <c r="X11" i="1"/>
  <c r="T83" i="1"/>
  <c r="X70" i="1"/>
  <c r="N17" i="1"/>
  <c r="W20" i="1" l="1"/>
  <c r="V25" i="1"/>
  <c r="W14" i="1"/>
  <c r="W15" i="1"/>
  <c r="W16" i="1"/>
  <c r="V35" i="1"/>
  <c r="AA6" i="1"/>
  <c r="T84" i="1"/>
  <c r="Y70" i="1"/>
  <c r="O17" i="1"/>
  <c r="Y11" i="1"/>
  <c r="Y46" i="1"/>
  <c r="Z44" i="1"/>
  <c r="Z10" i="1" s="1"/>
  <c r="AA7" i="1"/>
  <c r="Z38" i="1"/>
  <c r="Z45" i="1"/>
  <c r="W17" i="1" l="1"/>
  <c r="W12" i="1" s="1"/>
  <c r="V61" i="1"/>
  <c r="V58" i="1"/>
  <c r="W27" i="1"/>
  <c r="W29" i="1" s="1"/>
  <c r="AB6" i="1"/>
  <c r="Z70" i="1"/>
  <c r="T85" i="1"/>
  <c r="P17" i="1"/>
  <c r="AA44" i="1"/>
  <c r="AA10" i="1" s="1"/>
  <c r="AB7" i="1"/>
  <c r="AA45" i="1"/>
  <c r="AA38" i="1"/>
  <c r="Z46" i="1"/>
  <c r="Z11" i="1"/>
  <c r="AC6" i="1" l="1"/>
  <c r="X40" i="1"/>
  <c r="AA11" i="1"/>
  <c r="W30" i="1"/>
  <c r="AA46" i="1"/>
  <c r="AB44" i="1"/>
  <c r="AB10" i="1" s="1"/>
  <c r="AC7" i="1"/>
  <c r="AB38" i="1"/>
  <c r="AB45" i="1"/>
  <c r="AA70" i="1"/>
  <c r="T86" i="1"/>
  <c r="AD6" i="1" l="1"/>
  <c r="W31" i="1"/>
  <c r="W32" i="1" s="1"/>
  <c r="W33" i="1" s="1"/>
  <c r="W21" i="1" s="1"/>
  <c r="W22" i="1" s="1"/>
  <c r="AB46" i="1"/>
  <c r="AB11" i="1"/>
  <c r="X14" i="1"/>
  <c r="W13" i="1"/>
  <c r="X28" i="1"/>
  <c r="X15" i="1"/>
  <c r="AC44" i="1"/>
  <c r="AC10" i="1" s="1"/>
  <c r="AD7" i="1"/>
  <c r="AC38" i="1"/>
  <c r="AC45" i="1"/>
  <c r="X16" i="1" l="1"/>
  <c r="AE6" i="1"/>
  <c r="W35" i="1"/>
  <c r="AD44" i="1"/>
  <c r="AD10" i="1" s="1"/>
  <c r="AE7" i="1"/>
  <c r="AD45" i="1"/>
  <c r="AD38" i="1"/>
  <c r="AC46" i="1"/>
  <c r="AC11" i="1"/>
  <c r="AF6" i="1" l="1"/>
  <c r="W61" i="1"/>
  <c r="W58" i="1"/>
  <c r="W23" i="1"/>
  <c r="AD11" i="1"/>
  <c r="X17" i="1"/>
  <c r="Y40" i="1" s="1"/>
  <c r="AD46" i="1"/>
  <c r="AE44" i="1"/>
  <c r="AE10" i="1" s="1"/>
  <c r="AF7" i="1"/>
  <c r="AE38" i="1"/>
  <c r="AE45" i="1"/>
  <c r="AG6" i="1" l="1"/>
  <c r="X20" i="1"/>
  <c r="W25" i="1"/>
  <c r="AF44" i="1"/>
  <c r="AF10" i="1" s="1"/>
  <c r="AG7" i="1"/>
  <c r="AF38" i="1"/>
  <c r="AF45" i="1"/>
  <c r="Y14" i="1"/>
  <c r="X13" i="1"/>
  <c r="Y28" i="1"/>
  <c r="X12" i="1"/>
  <c r="Y15" i="1" s="1"/>
  <c r="AE46" i="1"/>
  <c r="AE11" i="1"/>
  <c r="Y16" i="1" l="1"/>
  <c r="Y17" i="1" s="1"/>
  <c r="Z40" i="1" s="1"/>
  <c r="AH6" i="1"/>
  <c r="X27" i="1"/>
  <c r="X29" i="1" s="1"/>
  <c r="AF46" i="1"/>
  <c r="AF11" i="1"/>
  <c r="AG44" i="1"/>
  <c r="AG10" i="1" s="1"/>
  <c r="AH7" i="1"/>
  <c r="AG38" i="1"/>
  <c r="AG45" i="1"/>
  <c r="AI6" i="1" l="1"/>
  <c r="X30" i="1"/>
  <c r="X31" i="1" s="1"/>
  <c r="AG46" i="1"/>
  <c r="AG11" i="1"/>
  <c r="AH44" i="1"/>
  <c r="AH10" i="1" s="1"/>
  <c r="AI7" i="1"/>
  <c r="AH38" i="1"/>
  <c r="AH45" i="1"/>
  <c r="Z14" i="1"/>
  <c r="Z28" i="1"/>
  <c r="Y13" i="1"/>
  <c r="Y12" i="1"/>
  <c r="Z15" i="1" s="1"/>
  <c r="Z16" i="1" l="1"/>
  <c r="Z17" i="1" s="1"/>
  <c r="AJ6" i="1"/>
  <c r="X32" i="1"/>
  <c r="X33" i="1" s="1"/>
  <c r="X21" i="1" s="1"/>
  <c r="X22" i="1" s="1"/>
  <c r="X35" i="1" s="1"/>
  <c r="AI44" i="1"/>
  <c r="AI10" i="1" s="1"/>
  <c r="AJ7" i="1"/>
  <c r="AI45" i="1"/>
  <c r="AI38" i="1"/>
  <c r="AH46" i="1"/>
  <c r="AH11" i="1"/>
  <c r="AA40" i="1" l="1"/>
  <c r="AA14" i="1"/>
  <c r="AK6" i="1"/>
  <c r="X23" i="1"/>
  <c r="X61" i="1"/>
  <c r="X58" i="1"/>
  <c r="AA28" i="1"/>
  <c r="Z13" i="1"/>
  <c r="Z12" i="1"/>
  <c r="AA15" i="1" s="1"/>
  <c r="AI46" i="1"/>
  <c r="AI11" i="1"/>
  <c r="AJ44" i="1"/>
  <c r="AJ10" i="1" s="1"/>
  <c r="AK7" i="1"/>
  <c r="AJ45" i="1"/>
  <c r="AJ38" i="1"/>
  <c r="AA16" i="1" l="1"/>
  <c r="AA17" i="1" s="1"/>
  <c r="AB40" i="1" s="1"/>
  <c r="AL6" i="1"/>
  <c r="Y20" i="1"/>
  <c r="X25" i="1"/>
  <c r="AJ11" i="1"/>
  <c r="AJ46" i="1"/>
  <c r="AK44" i="1"/>
  <c r="AK10" i="1" s="1"/>
  <c r="AL7" i="1"/>
  <c r="AK38" i="1"/>
  <c r="AK45" i="1"/>
  <c r="AM6" i="1" l="1"/>
  <c r="Y27" i="1"/>
  <c r="Y29" i="1" s="1"/>
  <c r="AL44" i="1"/>
  <c r="AL10" i="1" s="1"/>
  <c r="AM7" i="1"/>
  <c r="AL38" i="1"/>
  <c r="AL45" i="1"/>
  <c r="AK11" i="1"/>
  <c r="AB14" i="1"/>
  <c r="AA13" i="1"/>
  <c r="AB28" i="1"/>
  <c r="AA12" i="1"/>
  <c r="AB15" i="1" s="1"/>
  <c r="AK46" i="1"/>
  <c r="AB16" i="1" l="1"/>
  <c r="AB17" i="1" s="1"/>
  <c r="AC40" i="1" s="1"/>
  <c r="AN6" i="1"/>
  <c r="Y30" i="1"/>
  <c r="Y31" i="1" s="1"/>
  <c r="AM44" i="1"/>
  <c r="AM10" i="1" s="1"/>
  <c r="AN7" i="1"/>
  <c r="AM38" i="1"/>
  <c r="AM45" i="1"/>
  <c r="AL46" i="1"/>
  <c r="AL11" i="1"/>
  <c r="AO6" i="1" l="1"/>
  <c r="Y32" i="1"/>
  <c r="Y33" i="1" s="1"/>
  <c r="Y21" i="1" s="1"/>
  <c r="Y22" i="1" s="1"/>
  <c r="Y35" i="1" s="1"/>
  <c r="AM11" i="1"/>
  <c r="AM46" i="1"/>
  <c r="AN44" i="1"/>
  <c r="AN10" i="1" s="1"/>
  <c r="AO7" i="1"/>
  <c r="AN45" i="1"/>
  <c r="AN15" i="1" s="1"/>
  <c r="AN38" i="1"/>
  <c r="AC14" i="1"/>
  <c r="AB13" i="1"/>
  <c r="AC28" i="1"/>
  <c r="AB12" i="1"/>
  <c r="AC15" i="1" s="1"/>
  <c r="AC16" i="1" l="1"/>
  <c r="AC17" i="1" s="1"/>
  <c r="AP6" i="1"/>
  <c r="Y23" i="1"/>
  <c r="Y61" i="1"/>
  <c r="Y58" i="1"/>
  <c r="AN11" i="1"/>
  <c r="AN46" i="1"/>
  <c r="AO44" i="1"/>
  <c r="AO10" i="1" s="1"/>
  <c r="AP7" i="1"/>
  <c r="AO45" i="1"/>
  <c r="AO15" i="1" s="1"/>
  <c r="AO38" i="1"/>
  <c r="AD14" i="1" l="1"/>
  <c r="AD40" i="1"/>
  <c r="AQ6" i="1"/>
  <c r="Z20" i="1"/>
  <c r="Y25" i="1"/>
  <c r="Z27" i="1" s="1"/>
  <c r="Z29" i="1" s="1"/>
  <c r="AC12" i="1"/>
  <c r="AD15" i="1" s="1"/>
  <c r="AD28" i="1"/>
  <c r="AC13" i="1"/>
  <c r="AO11" i="1"/>
  <c r="AP44" i="1"/>
  <c r="AP10" i="1" s="1"/>
  <c r="AQ7" i="1"/>
  <c r="AP38" i="1"/>
  <c r="AP45" i="1"/>
  <c r="AP15" i="1" s="1"/>
  <c r="AO46" i="1"/>
  <c r="AD16" i="1" l="1"/>
  <c r="AD17" i="1" s="1"/>
  <c r="AR6" i="1"/>
  <c r="Z30" i="1"/>
  <c r="Z31" i="1" s="1"/>
  <c r="Z32" i="1" s="1"/>
  <c r="Z33" i="1" s="1"/>
  <c r="Z21" i="1" s="1"/>
  <c r="Z22" i="1" s="1"/>
  <c r="Z35" i="1" s="1"/>
  <c r="AQ44" i="1"/>
  <c r="AQ10" i="1" s="1"/>
  <c r="AR7" i="1"/>
  <c r="AQ45" i="1"/>
  <c r="AQ15" i="1" s="1"/>
  <c r="AQ38" i="1"/>
  <c r="AP46" i="1"/>
  <c r="AP11" i="1"/>
  <c r="AE40" i="1" l="1"/>
  <c r="AD13" i="1"/>
  <c r="AS6" i="1"/>
  <c r="AD12" i="1"/>
  <c r="AE15" i="1" s="1"/>
  <c r="AE28" i="1"/>
  <c r="AE14" i="1"/>
  <c r="AR44" i="1"/>
  <c r="AR10" i="1" s="1"/>
  <c r="AS7" i="1"/>
  <c r="AR38" i="1"/>
  <c r="AR45" i="1"/>
  <c r="AR15" i="1" s="1"/>
  <c r="AQ11" i="1"/>
  <c r="AQ46" i="1"/>
  <c r="Z61" i="1"/>
  <c r="Z58" i="1"/>
  <c r="Z23" i="1"/>
  <c r="AE16" i="1" l="1"/>
  <c r="AE17" i="1" s="1"/>
  <c r="AF40" i="1" s="1"/>
  <c r="AT6" i="1"/>
  <c r="AR46" i="1"/>
  <c r="AA20" i="1"/>
  <c r="Z25" i="1"/>
  <c r="AS44" i="1"/>
  <c r="AS10" i="1" s="1"/>
  <c r="AT7" i="1"/>
  <c r="AS38" i="1"/>
  <c r="AS45" i="1"/>
  <c r="AS15" i="1" s="1"/>
  <c r="AR11" i="1"/>
  <c r="AF14" i="1" l="1"/>
  <c r="AE13" i="1"/>
  <c r="AF28" i="1"/>
  <c r="AE12" i="1"/>
  <c r="AF15" i="1" s="1"/>
  <c r="AU6" i="1"/>
  <c r="AS11" i="1"/>
  <c r="AS46" i="1"/>
  <c r="AA27" i="1"/>
  <c r="AA29" i="1" s="1"/>
  <c r="AT44" i="1"/>
  <c r="AT10" i="1" s="1"/>
  <c r="AU7" i="1"/>
  <c r="AT38" i="1"/>
  <c r="AT45" i="1"/>
  <c r="AT15" i="1" s="1"/>
  <c r="AF16" i="1" l="1"/>
  <c r="AF17" i="1" s="1"/>
  <c r="AV6" i="1"/>
  <c r="AT46" i="1"/>
  <c r="AA30" i="1"/>
  <c r="AA31" i="1" s="1"/>
  <c r="AU44" i="1"/>
  <c r="AU10" i="1" s="1"/>
  <c r="AV7" i="1"/>
  <c r="AU38" i="1"/>
  <c r="AU45" i="1"/>
  <c r="AU15" i="1" s="1"/>
  <c r="AT11" i="1"/>
  <c r="AG14" i="1" l="1"/>
  <c r="AG40" i="1"/>
  <c r="AG28" i="1"/>
  <c r="AF12" i="1"/>
  <c r="AG15" i="1" s="1"/>
  <c r="AF13" i="1"/>
  <c r="AW6" i="1"/>
  <c r="AU11" i="1"/>
  <c r="AU46" i="1"/>
  <c r="AA32" i="1"/>
  <c r="AA33" i="1" s="1"/>
  <c r="AA21" i="1" s="1"/>
  <c r="AA22" i="1" s="1"/>
  <c r="AV44" i="1"/>
  <c r="AV10" i="1" s="1"/>
  <c r="AW7" i="1"/>
  <c r="AV45" i="1"/>
  <c r="AV15" i="1" s="1"/>
  <c r="AV38" i="1"/>
  <c r="AG16" i="1" l="1"/>
  <c r="AG17" i="1" s="1"/>
  <c r="AG12" i="1" s="1"/>
  <c r="AH15" i="1" s="1"/>
  <c r="AX6" i="1"/>
  <c r="AA35" i="1"/>
  <c r="AV46" i="1"/>
  <c r="AW44" i="1"/>
  <c r="AW10" i="1" s="1"/>
  <c r="AX7" i="1"/>
  <c r="AW38" i="1"/>
  <c r="AW45" i="1"/>
  <c r="AW15" i="1" s="1"/>
  <c r="AV11" i="1"/>
  <c r="AH14" i="1" l="1"/>
  <c r="AH16" i="1" s="1"/>
  <c r="AH17" i="1" s="1"/>
  <c r="AH40" i="1"/>
  <c r="AG13" i="1"/>
  <c r="AH28" i="1"/>
  <c r="AY6" i="1"/>
  <c r="AW11" i="1"/>
  <c r="AW46" i="1"/>
  <c r="AA23" i="1"/>
  <c r="AX44" i="1"/>
  <c r="AX10" i="1" s="1"/>
  <c r="AY7" i="1"/>
  <c r="AX38" i="1"/>
  <c r="AX45" i="1"/>
  <c r="AX15" i="1" s="1"/>
  <c r="AA61" i="1"/>
  <c r="AA58" i="1"/>
  <c r="AH13" i="1" l="1"/>
  <c r="AI40" i="1"/>
  <c r="AZ6" i="1"/>
  <c r="BA6" i="1" s="1"/>
  <c r="BB6" i="1" s="1"/>
  <c r="BC6" i="1" s="1"/>
  <c r="AH12" i="1"/>
  <c r="AI15" i="1" s="1"/>
  <c r="AI14" i="1"/>
  <c r="AI28" i="1"/>
  <c r="AY44" i="1"/>
  <c r="AY10" i="1" s="1"/>
  <c r="AZ7" i="1"/>
  <c r="AY45" i="1"/>
  <c r="AY15" i="1" s="1"/>
  <c r="AY38" i="1"/>
  <c r="AX46" i="1"/>
  <c r="AB20" i="1"/>
  <c r="AA25" i="1"/>
  <c r="AX11" i="1"/>
  <c r="AI16" i="1" l="1"/>
  <c r="AI17" i="1" s="1"/>
  <c r="AI12" i="1" s="1"/>
  <c r="AJ15" i="1" s="1"/>
  <c r="AY46" i="1"/>
  <c r="AZ44" i="1"/>
  <c r="AZ10" i="1" s="1"/>
  <c r="BA7" i="1"/>
  <c r="AZ38" i="1"/>
  <c r="AZ45" i="1"/>
  <c r="AZ15" i="1" s="1"/>
  <c r="AB27" i="1"/>
  <c r="AB29" i="1" s="1"/>
  <c r="AY11" i="1"/>
  <c r="BD6" i="1"/>
  <c r="AJ28" i="1" l="1"/>
  <c r="AJ14" i="1"/>
  <c r="AJ16" i="1" s="1"/>
  <c r="AJ17" i="1" s="1"/>
  <c r="AJ13" i="1" s="1"/>
  <c r="AJ40" i="1"/>
  <c r="AI13" i="1"/>
  <c r="BE6" i="1"/>
  <c r="BA44" i="1"/>
  <c r="BA10" i="1" s="1"/>
  <c r="BB7" i="1"/>
  <c r="BA45" i="1"/>
  <c r="BA15" i="1" s="1"/>
  <c r="BA38" i="1"/>
  <c r="AZ11" i="1"/>
  <c r="AZ46" i="1"/>
  <c r="AB30" i="1"/>
  <c r="AB31" i="1" s="1"/>
  <c r="AK40" i="1" l="1"/>
  <c r="AK14" i="1"/>
  <c r="AK28" i="1"/>
  <c r="AJ12" i="1"/>
  <c r="BA46" i="1"/>
  <c r="BB44" i="1"/>
  <c r="BB10" i="1" s="1"/>
  <c r="BC7" i="1"/>
  <c r="BB45" i="1"/>
  <c r="BB15" i="1" s="1"/>
  <c r="BB38" i="1"/>
  <c r="AB32" i="1"/>
  <c r="AB33" i="1" s="1"/>
  <c r="AB21" i="1" s="1"/>
  <c r="AB22" i="1" s="1"/>
  <c r="BF6" i="1"/>
  <c r="BA11" i="1"/>
  <c r="AK15" i="1" l="1"/>
  <c r="AK16" i="1" s="1"/>
  <c r="AB35" i="1"/>
  <c r="BG6" i="1"/>
  <c r="BB11" i="1"/>
  <c r="BB46" i="1"/>
  <c r="BC44" i="1"/>
  <c r="BC10" i="1" s="1"/>
  <c r="BD7" i="1"/>
  <c r="BC38" i="1"/>
  <c r="BC45" i="1"/>
  <c r="BC15" i="1" s="1"/>
  <c r="AK17" i="1" l="1"/>
  <c r="BC46" i="1"/>
  <c r="BH6" i="1"/>
  <c r="BD44" i="1"/>
  <c r="BD10" i="1" s="1"/>
  <c r="BE7" i="1"/>
  <c r="BD38" i="1"/>
  <c r="BD45" i="1"/>
  <c r="BD15" i="1" s="1"/>
  <c r="AB61" i="1"/>
  <c r="AB58" i="1"/>
  <c r="BC11" i="1"/>
  <c r="AB23" i="1"/>
  <c r="AL40" i="1" l="1"/>
  <c r="AL14" i="1"/>
  <c r="AK13" i="1"/>
  <c r="AL28" i="1"/>
  <c r="AK12" i="1"/>
  <c r="AL15" i="1" s="1"/>
  <c r="BD46" i="1"/>
  <c r="BD11" i="1"/>
  <c r="BI6" i="1"/>
  <c r="AC20" i="1"/>
  <c r="AB25" i="1"/>
  <c r="BE44" i="1"/>
  <c r="BE10" i="1" s="1"/>
  <c r="BF7" i="1"/>
  <c r="BE38" i="1"/>
  <c r="BE45" i="1"/>
  <c r="BE15" i="1" s="1"/>
  <c r="AL16" i="1" l="1"/>
  <c r="AL17" i="1" s="1"/>
  <c r="BE46" i="1"/>
  <c r="BJ6" i="1"/>
  <c r="BF44" i="1"/>
  <c r="BF10" i="1" s="1"/>
  <c r="BG7" i="1"/>
  <c r="BF45" i="1"/>
  <c r="BF15" i="1" s="1"/>
  <c r="BF38" i="1"/>
  <c r="BE11" i="1"/>
  <c r="AC27" i="1"/>
  <c r="AC29" i="1" s="1"/>
  <c r="AM40" i="1" l="1"/>
  <c r="AM14" i="1"/>
  <c r="AL12" i="1"/>
  <c r="AM15" i="1" s="1"/>
  <c r="AL13" i="1"/>
  <c r="AM28" i="1"/>
  <c r="BF46" i="1"/>
  <c r="BK6" i="1"/>
  <c r="BG44" i="1"/>
  <c r="BG10" i="1" s="1"/>
  <c r="BH7" i="1"/>
  <c r="BG45" i="1"/>
  <c r="BG15" i="1" s="1"/>
  <c r="BG38" i="1"/>
  <c r="AC30" i="1"/>
  <c r="AC31" i="1" s="1"/>
  <c r="BF11" i="1"/>
  <c r="AM16" i="1" l="1"/>
  <c r="AM17" i="1" s="1"/>
  <c r="AC32" i="1"/>
  <c r="AC33" i="1" s="1"/>
  <c r="AC21" i="1" s="1"/>
  <c r="AC22" i="1" s="1"/>
  <c r="BH44" i="1"/>
  <c r="BH10" i="1" s="1"/>
  <c r="BI7" i="1"/>
  <c r="BH38" i="1"/>
  <c r="BH45" i="1"/>
  <c r="BH15" i="1" s="1"/>
  <c r="BH13" i="1"/>
  <c r="BL6" i="1"/>
  <c r="BG11" i="1"/>
  <c r="BG46" i="1"/>
  <c r="AN40" i="1" l="1"/>
  <c r="AN14" i="1"/>
  <c r="AN16" i="1" s="1"/>
  <c r="AN17" i="1" s="1"/>
  <c r="AN28" i="1"/>
  <c r="AM13" i="1"/>
  <c r="AM12" i="1"/>
  <c r="AC35" i="1"/>
  <c r="BI44" i="1"/>
  <c r="BI10" i="1" s="1"/>
  <c r="BJ7" i="1"/>
  <c r="BI13" i="1"/>
  <c r="BI38" i="1"/>
  <c r="BI45" i="1"/>
  <c r="BI15" i="1" s="1"/>
  <c r="AN12" i="1"/>
  <c r="BH11" i="1"/>
  <c r="BM6" i="1"/>
  <c r="BH46" i="1"/>
  <c r="AO40" i="1" l="1"/>
  <c r="AO14" i="1"/>
  <c r="AN13" i="1"/>
  <c r="AO28" i="1"/>
  <c r="BN6" i="1"/>
  <c r="BJ44" i="1"/>
  <c r="BJ10" i="1" s="1"/>
  <c r="BK7" i="1"/>
  <c r="BJ38" i="1"/>
  <c r="BJ45" i="1"/>
  <c r="BJ15" i="1" s="1"/>
  <c r="BJ13" i="1"/>
  <c r="BI46" i="1"/>
  <c r="BI11" i="1"/>
  <c r="AC61" i="1"/>
  <c r="AC58" i="1"/>
  <c r="AC23" i="1"/>
  <c r="AO16" i="1" l="1"/>
  <c r="AO17" i="1" s="1"/>
  <c r="AO13" i="1" s="1"/>
  <c r="AD20" i="1"/>
  <c r="AC25" i="1"/>
  <c r="BJ46" i="1"/>
  <c r="BJ11" i="1"/>
  <c r="AO12" i="1"/>
  <c r="BO6" i="1"/>
  <c r="BK44" i="1"/>
  <c r="BK10" i="1" s="1"/>
  <c r="BL7" i="1"/>
  <c r="BK45" i="1"/>
  <c r="BK15" i="1" s="1"/>
  <c r="BK13" i="1"/>
  <c r="BK38" i="1"/>
  <c r="AP28" i="1" l="1"/>
  <c r="AP14" i="1"/>
  <c r="AP40" i="1"/>
  <c r="BK11" i="1"/>
  <c r="BK46" i="1"/>
  <c r="BL44" i="1"/>
  <c r="BL10" i="1" s="1"/>
  <c r="BM7" i="1"/>
  <c r="BL45" i="1"/>
  <c r="BL15" i="1" s="1"/>
  <c r="BL13" i="1"/>
  <c r="BL38" i="1"/>
  <c r="AD27" i="1"/>
  <c r="AD29" i="1" s="1"/>
  <c r="BP6" i="1"/>
  <c r="AP16" i="1" l="1"/>
  <c r="AP17" i="1" s="1"/>
  <c r="AP13" i="1" s="1"/>
  <c r="AP12" i="1"/>
  <c r="BQ6" i="1"/>
  <c r="BL11" i="1"/>
  <c r="BL46" i="1"/>
  <c r="AD30" i="1"/>
  <c r="AD31" i="1" s="1"/>
  <c r="BM44" i="1"/>
  <c r="BM10" i="1" s="1"/>
  <c r="BN7" i="1"/>
  <c r="BM38" i="1"/>
  <c r="BM45" i="1"/>
  <c r="BM15" i="1" s="1"/>
  <c r="BM13" i="1"/>
  <c r="AQ40" i="1" l="1"/>
  <c r="AQ14" i="1"/>
  <c r="AQ28" i="1"/>
  <c r="AD32" i="1"/>
  <c r="AD33" i="1" s="1"/>
  <c r="AD21" i="1" s="1"/>
  <c r="AD22" i="1" s="1"/>
  <c r="BM11" i="1"/>
  <c r="BR6" i="1"/>
  <c r="BM46" i="1"/>
  <c r="BN44" i="1"/>
  <c r="BN10" i="1" s="1"/>
  <c r="BO7" i="1"/>
  <c r="BN13" i="1"/>
  <c r="BN45" i="1"/>
  <c r="BN15" i="1" s="1"/>
  <c r="BN38" i="1"/>
  <c r="AQ16" i="1" l="1"/>
  <c r="AQ17" i="1" s="1"/>
  <c r="AD35" i="1"/>
  <c r="BS6" i="1"/>
  <c r="BN11" i="1"/>
  <c r="BN46" i="1"/>
  <c r="AQ12" i="1"/>
  <c r="BO44" i="1"/>
  <c r="BO10" i="1" s="1"/>
  <c r="BP7" i="1"/>
  <c r="BO45" i="1"/>
  <c r="BO15" i="1" s="1"/>
  <c r="BO38" i="1"/>
  <c r="BO13" i="1"/>
  <c r="AR28" i="1" l="1"/>
  <c r="AQ13" i="1"/>
  <c r="AR14" i="1"/>
  <c r="AR40" i="1"/>
  <c r="BO11" i="1"/>
  <c r="BO46" i="1"/>
  <c r="BT6" i="1"/>
  <c r="BP44" i="1"/>
  <c r="BP10" i="1" s="1"/>
  <c r="BQ7" i="1"/>
  <c r="BP38" i="1"/>
  <c r="BP45" i="1"/>
  <c r="BP15" i="1" s="1"/>
  <c r="BP13" i="1"/>
  <c r="AD61" i="1"/>
  <c r="AD58" i="1"/>
  <c r="AD23" i="1"/>
  <c r="AR16" i="1" l="1"/>
  <c r="AR17" i="1" s="1"/>
  <c r="AR13" i="1" s="1"/>
  <c r="BP46" i="1"/>
  <c r="AE20" i="1"/>
  <c r="AD25" i="1"/>
  <c r="AR12" i="1"/>
  <c r="BQ44" i="1"/>
  <c r="BQ10" i="1" s="1"/>
  <c r="BR7" i="1"/>
  <c r="BQ13" i="1"/>
  <c r="BQ38" i="1"/>
  <c r="BQ45" i="1"/>
  <c r="BQ15" i="1" s="1"/>
  <c r="BP11" i="1"/>
  <c r="BU6" i="1"/>
  <c r="AS28" i="1" l="1"/>
  <c r="AS14" i="1"/>
  <c r="AS40" i="1"/>
  <c r="BR44" i="1"/>
  <c r="BR10" i="1" s="1"/>
  <c r="BS7" i="1"/>
  <c r="BR38" i="1"/>
  <c r="BR45" i="1"/>
  <c r="BR15" i="1" s="1"/>
  <c r="BR13" i="1"/>
  <c r="AE27" i="1"/>
  <c r="AE29" i="1" s="1"/>
  <c r="BV6" i="1"/>
  <c r="BQ11" i="1"/>
  <c r="BQ46" i="1"/>
  <c r="AS16" i="1" l="1"/>
  <c r="AS17" i="1" s="1"/>
  <c r="AS13" i="1" s="1"/>
  <c r="AE30" i="1"/>
  <c r="AE31" i="1" s="1"/>
  <c r="AS12" i="1"/>
  <c r="BS44" i="1"/>
  <c r="BS10" i="1" s="1"/>
  <c r="BT7" i="1"/>
  <c r="BS45" i="1"/>
  <c r="BS15" i="1" s="1"/>
  <c r="BS13" i="1"/>
  <c r="BS38" i="1"/>
  <c r="BW6" i="1"/>
  <c r="BR11" i="1"/>
  <c r="BR46" i="1"/>
  <c r="AT40" i="1" l="1"/>
  <c r="AT14" i="1"/>
  <c r="AT28" i="1"/>
  <c r="AE32" i="1"/>
  <c r="AE33" i="1" s="1"/>
  <c r="AE21" i="1" s="1"/>
  <c r="AE22" i="1" s="1"/>
  <c r="BX6" i="1"/>
  <c r="BS46" i="1"/>
  <c r="BT44" i="1"/>
  <c r="BT10" i="1" s="1"/>
  <c r="BU7" i="1"/>
  <c r="BT45" i="1"/>
  <c r="BT15" i="1" s="1"/>
  <c r="BT38" i="1"/>
  <c r="BT13" i="1"/>
  <c r="BS11" i="1"/>
  <c r="AT16" i="1" l="1"/>
  <c r="AT17" i="1" s="1"/>
  <c r="AE35" i="1"/>
  <c r="BY6" i="1"/>
  <c r="AT12" i="1"/>
  <c r="BU44" i="1"/>
  <c r="BU10" i="1" s="1"/>
  <c r="BV7" i="1"/>
  <c r="BU38" i="1"/>
  <c r="BU45" i="1"/>
  <c r="BU15" i="1" s="1"/>
  <c r="BU13" i="1"/>
  <c r="BU12" i="1"/>
  <c r="BT11" i="1"/>
  <c r="BT46" i="1"/>
  <c r="AU14" i="1" l="1"/>
  <c r="AT13" i="1"/>
  <c r="AU40" i="1"/>
  <c r="AU28" i="1"/>
  <c r="BV44" i="1"/>
  <c r="BV10" i="1" s="1"/>
  <c r="BV12" i="1"/>
  <c r="BW7" i="1"/>
  <c r="BV45" i="1"/>
  <c r="BV15" i="1" s="1"/>
  <c r="BV38" i="1"/>
  <c r="BV13" i="1"/>
  <c r="BZ6" i="1"/>
  <c r="BU11" i="1"/>
  <c r="BU46" i="1"/>
  <c r="AE61" i="1"/>
  <c r="AE58" i="1"/>
  <c r="AE23" i="1"/>
  <c r="AU16" i="1" l="1"/>
  <c r="AU17" i="1" s="1"/>
  <c r="BV46" i="1"/>
  <c r="BW10" i="1"/>
  <c r="BX7" i="1"/>
  <c r="BW45" i="1"/>
  <c r="BW15" i="1" s="1"/>
  <c r="BW38" i="1"/>
  <c r="BW12" i="1"/>
  <c r="BW13" i="1"/>
  <c r="AF20" i="1"/>
  <c r="AE25" i="1"/>
  <c r="AU12" i="1"/>
  <c r="BV11" i="1"/>
  <c r="CA6" i="1"/>
  <c r="AV28" i="1" l="1"/>
  <c r="AU13" i="1"/>
  <c r="AV14" i="1"/>
  <c r="AV40" i="1"/>
  <c r="AF27" i="1"/>
  <c r="AF29" i="1" s="1"/>
  <c r="BX44" i="1"/>
  <c r="BX10" i="1" s="1"/>
  <c r="BY7" i="1"/>
  <c r="BX45" i="1"/>
  <c r="BX15" i="1" s="1"/>
  <c r="BX13" i="1"/>
  <c r="BX12" i="1"/>
  <c r="BX38" i="1"/>
  <c r="CB6" i="1"/>
  <c r="BW11" i="1"/>
  <c r="BW46" i="1"/>
  <c r="AV16" i="1" l="1"/>
  <c r="AV17" i="1" s="1"/>
  <c r="AW14" i="1" s="1"/>
  <c r="AW16" i="1" s="1"/>
  <c r="AV12" i="1"/>
  <c r="BX11" i="1"/>
  <c r="CC6" i="1"/>
  <c r="BX46" i="1"/>
  <c r="BY44" i="1"/>
  <c r="BY10" i="1" s="1"/>
  <c r="BZ7" i="1"/>
  <c r="BY45" i="1"/>
  <c r="BY15" i="1" s="1"/>
  <c r="BY13" i="1"/>
  <c r="BY12" i="1"/>
  <c r="BY38" i="1"/>
  <c r="AF30" i="1"/>
  <c r="AF31" i="1" s="1"/>
  <c r="AW40" i="1" l="1"/>
  <c r="AV13" i="1"/>
  <c r="AW28" i="1"/>
  <c r="AF32" i="1"/>
  <c r="AF33" i="1" s="1"/>
  <c r="AF21" i="1" s="1"/>
  <c r="AF22" i="1" s="1"/>
  <c r="BY11" i="1"/>
  <c r="BY46" i="1"/>
  <c r="BZ44" i="1"/>
  <c r="BZ10" i="1" s="1"/>
  <c r="CA7" i="1"/>
  <c r="BZ38" i="1"/>
  <c r="BZ45" i="1"/>
  <c r="BZ15" i="1" s="1"/>
  <c r="BZ12" i="1"/>
  <c r="BZ13" i="1"/>
  <c r="CD6" i="1"/>
  <c r="AW17" i="1"/>
  <c r="AX40" i="1" s="1"/>
  <c r="AF35" i="1" l="1"/>
  <c r="AX14" i="1"/>
  <c r="AX16" i="1" s="1"/>
  <c r="AW13" i="1"/>
  <c r="AX28" i="1"/>
  <c r="AW12" i="1"/>
  <c r="BZ46" i="1"/>
  <c r="CE6" i="1"/>
  <c r="CA44" i="1"/>
  <c r="CA10" i="1" s="1"/>
  <c r="CB7" i="1"/>
  <c r="CA13" i="1"/>
  <c r="CA38" i="1"/>
  <c r="CA12" i="1"/>
  <c r="CA45" i="1"/>
  <c r="CA15" i="1" s="1"/>
  <c r="BZ11" i="1"/>
  <c r="CA46" i="1" l="1"/>
  <c r="CA11" i="1"/>
  <c r="CF6" i="1"/>
  <c r="AX17" i="1"/>
  <c r="AY40" i="1" s="1"/>
  <c r="CB44" i="1"/>
  <c r="CB10" i="1" s="1"/>
  <c r="CC7" i="1"/>
  <c r="CB45" i="1"/>
  <c r="CB15" i="1" s="1"/>
  <c r="CB12" i="1"/>
  <c r="CB38" i="1"/>
  <c r="CB13" i="1"/>
  <c r="AF61" i="1"/>
  <c r="AF58" i="1"/>
  <c r="AF23" i="1"/>
  <c r="CB46" i="1" l="1"/>
  <c r="CG6" i="1"/>
  <c r="AG20" i="1"/>
  <c r="AF25" i="1"/>
  <c r="CC44" i="1"/>
  <c r="CC10" i="1" s="1"/>
  <c r="CD7" i="1"/>
  <c r="CC45" i="1"/>
  <c r="CC15" i="1" s="1"/>
  <c r="CC13" i="1"/>
  <c r="CC38" i="1"/>
  <c r="CC12" i="1"/>
  <c r="CB11" i="1"/>
  <c r="AY14" i="1"/>
  <c r="AY16" i="1" s="1"/>
  <c r="AX13" i="1"/>
  <c r="AY28" i="1"/>
  <c r="AX12" i="1"/>
  <c r="AY17" i="1" l="1"/>
  <c r="AZ40" i="1" s="1"/>
  <c r="CC11" i="1"/>
  <c r="AG27" i="1"/>
  <c r="AG29" i="1" s="1"/>
  <c r="CC46" i="1"/>
  <c r="CH6" i="1"/>
  <c r="CD44" i="1"/>
  <c r="CD10" i="1" s="1"/>
  <c r="CE7" i="1"/>
  <c r="CD12" i="1"/>
  <c r="CD13" i="1"/>
  <c r="CD45" i="1"/>
  <c r="CD15" i="1" s="1"/>
  <c r="CD38" i="1"/>
  <c r="CD46" i="1" l="1"/>
  <c r="CD11" i="1"/>
  <c r="AG30" i="1"/>
  <c r="AG31" i="1" s="1"/>
  <c r="CI6" i="1"/>
  <c r="CE44" i="1"/>
  <c r="CE10" i="1" s="1"/>
  <c r="CF7" i="1"/>
  <c r="CE45" i="1"/>
  <c r="CE15" i="1" s="1"/>
  <c r="CE38" i="1"/>
  <c r="CE13" i="1"/>
  <c r="CE12" i="1"/>
  <c r="AZ14" i="1"/>
  <c r="AZ16" i="1" s="1"/>
  <c r="AY13" i="1"/>
  <c r="AZ28" i="1"/>
  <c r="AY12" i="1"/>
  <c r="AG32" i="1" l="1"/>
  <c r="AG33" i="1" s="1"/>
  <c r="AG21" i="1" s="1"/>
  <c r="AG22" i="1" s="1"/>
  <c r="AZ17" i="1"/>
  <c r="BA40" i="1" s="1"/>
  <c r="CE46" i="1"/>
  <c r="CF44" i="1"/>
  <c r="CF10" i="1" s="1"/>
  <c r="CG7" i="1"/>
  <c r="CF13" i="1"/>
  <c r="CF38" i="1"/>
  <c r="CF45" i="1"/>
  <c r="CF15" i="1" s="1"/>
  <c r="CF12" i="1"/>
  <c r="CE11" i="1"/>
  <c r="CJ6" i="1"/>
  <c r="AG35" i="1" l="1"/>
  <c r="CK6" i="1"/>
  <c r="CF46" i="1"/>
  <c r="CF11" i="1"/>
  <c r="BA14" i="1"/>
  <c r="BA16" i="1" s="1"/>
  <c r="AZ13" i="1"/>
  <c r="BA28" i="1"/>
  <c r="AZ12" i="1"/>
  <c r="CG44" i="1"/>
  <c r="CG10" i="1" s="1"/>
  <c r="CH7" i="1"/>
  <c r="CG13" i="1"/>
  <c r="CG12" i="1"/>
  <c r="CG38" i="1"/>
  <c r="CG45" i="1"/>
  <c r="CG15" i="1" s="1"/>
  <c r="CG46" i="1" l="1"/>
  <c r="CG11" i="1"/>
  <c r="CL6" i="1"/>
  <c r="CH44" i="1"/>
  <c r="CH10" i="1" s="1"/>
  <c r="CI7" i="1"/>
  <c r="CH38" i="1"/>
  <c r="CH45" i="1"/>
  <c r="CH15" i="1" s="1"/>
  <c r="CH13" i="1"/>
  <c r="CH12" i="1"/>
  <c r="BA17" i="1"/>
  <c r="BB40" i="1" s="1"/>
  <c r="AG61" i="1"/>
  <c r="AG23" i="1"/>
  <c r="CH46" i="1" l="1"/>
  <c r="AH20" i="1"/>
  <c r="AG25" i="1"/>
  <c r="BB14" i="1"/>
  <c r="BB16" i="1" s="1"/>
  <c r="BA13" i="1"/>
  <c r="BB28" i="1"/>
  <c r="BA12" i="1"/>
  <c r="CI44" i="1"/>
  <c r="CI10" i="1" s="1"/>
  <c r="CJ7" i="1"/>
  <c r="CI45" i="1"/>
  <c r="CI15" i="1" s="1"/>
  <c r="CI13" i="1"/>
  <c r="CI12" i="1"/>
  <c r="CI38" i="1"/>
  <c r="CH11" i="1"/>
  <c r="CM6" i="1"/>
  <c r="CI46" i="1" l="1"/>
  <c r="CJ44" i="1"/>
  <c r="CJ10" i="1" s="1"/>
  <c r="CK7" i="1"/>
  <c r="CJ38" i="1"/>
  <c r="CJ12" i="1"/>
  <c r="CJ13" i="1"/>
  <c r="CJ45" i="1"/>
  <c r="CJ15" i="1" s="1"/>
  <c r="BB17" i="1"/>
  <c r="BC40" i="1" s="1"/>
  <c r="CN6" i="1"/>
  <c r="AG58" i="1"/>
  <c r="U57" i="1" s="1"/>
  <c r="AH27" i="1"/>
  <c r="AH29" i="1" s="1"/>
  <c r="CI11" i="1"/>
  <c r="BC14" i="1" l="1"/>
  <c r="BC16" i="1" s="1"/>
  <c r="BB13" i="1"/>
  <c r="BC28" i="1"/>
  <c r="BB12" i="1"/>
  <c r="CK44" i="1"/>
  <c r="CK10" i="1" s="1"/>
  <c r="CL7" i="1"/>
  <c r="CK45" i="1"/>
  <c r="CK15" i="1" s="1"/>
  <c r="CK13" i="1"/>
  <c r="CK12" i="1"/>
  <c r="CK38" i="1"/>
  <c r="AH30" i="1"/>
  <c r="AH31" i="1" s="1"/>
  <c r="CO6" i="1"/>
  <c r="CJ46" i="1"/>
  <c r="CJ11" i="1"/>
  <c r="AH32" i="1" l="1"/>
  <c r="AH33" i="1" s="1"/>
  <c r="AH21" i="1" s="1"/>
  <c r="AH22" i="1" s="1"/>
  <c r="CP6" i="1"/>
  <c r="CK11" i="1"/>
  <c r="CK46" i="1"/>
  <c r="CL44" i="1"/>
  <c r="CL10" i="1" s="1"/>
  <c r="CM7" i="1"/>
  <c r="CL12" i="1"/>
  <c r="CL38" i="1"/>
  <c r="CL13" i="1"/>
  <c r="CL45" i="1"/>
  <c r="CL15" i="1" s="1"/>
  <c r="BC17" i="1"/>
  <c r="BD40" i="1" s="1"/>
  <c r="AH35" i="1" l="1"/>
  <c r="BD14" i="1"/>
  <c r="BD16" i="1" s="1"/>
  <c r="BC13" i="1"/>
  <c r="BD28" i="1"/>
  <c r="BC12" i="1"/>
  <c r="CM44" i="1"/>
  <c r="CM10" i="1" s="1"/>
  <c r="CN7" i="1"/>
  <c r="CM45" i="1"/>
  <c r="CM15" i="1" s="1"/>
  <c r="CM12" i="1"/>
  <c r="CM38" i="1"/>
  <c r="CM13" i="1"/>
  <c r="CQ6" i="1"/>
  <c r="CL46" i="1"/>
  <c r="CL11" i="1"/>
  <c r="BD17" i="1" l="1"/>
  <c r="BE40" i="1" s="1"/>
  <c r="CM11" i="1"/>
  <c r="CR6" i="1"/>
  <c r="CM46" i="1"/>
  <c r="CN44" i="1"/>
  <c r="CN10" i="1" s="1"/>
  <c r="CO7" i="1"/>
  <c r="CN12" i="1"/>
  <c r="CN38" i="1"/>
  <c r="CN45" i="1"/>
  <c r="CN15" i="1" s="1"/>
  <c r="CN13" i="1"/>
  <c r="AH61" i="1"/>
  <c r="AH23" i="1"/>
  <c r="AI20" i="1" l="1"/>
  <c r="AH25" i="1"/>
  <c r="BE14" i="1"/>
  <c r="BE16" i="1" s="1"/>
  <c r="BE28" i="1"/>
  <c r="BD13" i="1"/>
  <c r="BD12" i="1"/>
  <c r="CO44" i="1"/>
  <c r="CO10" i="1" s="1"/>
  <c r="CP7" i="1"/>
  <c r="CO12" i="1"/>
  <c r="CO38" i="1"/>
  <c r="CO45" i="1"/>
  <c r="CO15" i="1" s="1"/>
  <c r="CO13" i="1"/>
  <c r="CS6" i="1"/>
  <c r="CN46" i="1"/>
  <c r="CN11" i="1"/>
  <c r="BE17" i="1" l="1"/>
  <c r="BF40" i="1" s="1"/>
  <c r="CO46" i="1"/>
  <c r="CT6" i="1"/>
  <c r="CP44" i="1"/>
  <c r="CP10" i="1" s="1"/>
  <c r="CQ7" i="1"/>
  <c r="CP45" i="1"/>
  <c r="CP15" i="1" s="1"/>
  <c r="CP13" i="1"/>
  <c r="CP38" i="1"/>
  <c r="CP12" i="1"/>
  <c r="AI27" i="1"/>
  <c r="AI29" i="1" s="1"/>
  <c r="CO11" i="1"/>
  <c r="CP11" i="1" l="1"/>
  <c r="AI30" i="1"/>
  <c r="AI31" i="1" s="1"/>
  <c r="CU6" i="1"/>
  <c r="CP46" i="1"/>
  <c r="BF14" i="1"/>
  <c r="BF16" i="1" s="1"/>
  <c r="BE13" i="1"/>
  <c r="BF28" i="1"/>
  <c r="BE12" i="1"/>
  <c r="CQ44" i="1"/>
  <c r="CQ10" i="1" s="1"/>
  <c r="CR7" i="1"/>
  <c r="CQ12" i="1"/>
  <c r="CQ38" i="1"/>
  <c r="CQ45" i="1"/>
  <c r="CQ15" i="1" s="1"/>
  <c r="CQ13" i="1"/>
  <c r="AI32" i="1" l="1"/>
  <c r="AI33" i="1" s="1"/>
  <c r="AI21" i="1" s="1"/>
  <c r="AI22" i="1" s="1"/>
  <c r="CQ11" i="1"/>
  <c r="CV6" i="1"/>
  <c r="CQ46" i="1"/>
  <c r="CR44" i="1"/>
  <c r="CR10" i="1" s="1"/>
  <c r="CS7" i="1"/>
  <c r="CR38" i="1"/>
  <c r="CR13" i="1"/>
  <c r="CR12" i="1"/>
  <c r="CR45" i="1"/>
  <c r="CR15" i="1" s="1"/>
  <c r="BF17" i="1"/>
  <c r="BG40" i="1" s="1"/>
  <c r="AI35" i="1" l="1"/>
  <c r="BG14" i="1"/>
  <c r="BG16" i="1" s="1"/>
  <c r="BF13" i="1"/>
  <c r="BG28" i="1"/>
  <c r="BF12" i="1"/>
  <c r="CS44" i="1"/>
  <c r="CS10" i="1" s="1"/>
  <c r="CT7" i="1"/>
  <c r="CS38" i="1"/>
  <c r="CS12" i="1"/>
  <c r="CS45" i="1"/>
  <c r="CS15" i="1" s="1"/>
  <c r="CS13" i="1"/>
  <c r="CW6" i="1"/>
  <c r="CR46" i="1"/>
  <c r="CR11" i="1"/>
  <c r="BG17" i="1" l="1"/>
  <c r="BH40" i="1" s="1"/>
  <c r="CS46" i="1"/>
  <c r="CS11" i="1"/>
  <c r="CX6" i="1"/>
  <c r="CT44" i="1"/>
  <c r="CT10" i="1" s="1"/>
  <c r="CU7" i="1"/>
  <c r="CT12" i="1"/>
  <c r="CT38" i="1"/>
  <c r="CT45" i="1"/>
  <c r="CT15" i="1" s="1"/>
  <c r="CT13" i="1"/>
  <c r="AI23" i="1"/>
  <c r="AI61" i="1"/>
  <c r="CT46" i="1" l="1"/>
  <c r="CY6" i="1"/>
  <c r="AJ20" i="1"/>
  <c r="AI25" i="1"/>
  <c r="BH14" i="1"/>
  <c r="BH16" i="1" s="1"/>
  <c r="BH28" i="1"/>
  <c r="BG13" i="1"/>
  <c r="BG12" i="1"/>
  <c r="CU44" i="1"/>
  <c r="CU10" i="1" s="1"/>
  <c r="CV7" i="1"/>
  <c r="CU13" i="1"/>
  <c r="CU12" i="1"/>
  <c r="CU45" i="1"/>
  <c r="CU15" i="1" s="1"/>
  <c r="CU38" i="1"/>
  <c r="CT11" i="1"/>
  <c r="AJ27" i="1" l="1"/>
  <c r="AJ29" i="1" s="1"/>
  <c r="CU11" i="1"/>
  <c r="CZ6" i="1"/>
  <c r="CU46" i="1"/>
  <c r="CV44" i="1"/>
  <c r="CV10" i="1" s="1"/>
  <c r="CW7" i="1"/>
  <c r="CV45" i="1"/>
  <c r="CV15" i="1" s="1"/>
  <c r="CV13" i="1"/>
  <c r="CV12" i="1"/>
  <c r="CV38" i="1"/>
  <c r="BH17" i="1"/>
  <c r="BI40" i="1" s="1"/>
  <c r="CV11" i="1" l="1"/>
  <c r="CV46" i="1"/>
  <c r="BI14" i="1"/>
  <c r="BI16" i="1" s="1"/>
  <c r="BI28" i="1"/>
  <c r="BH12" i="1"/>
  <c r="CW44" i="1"/>
  <c r="CW10" i="1" s="1"/>
  <c r="CX7" i="1"/>
  <c r="CW38" i="1"/>
  <c r="CW45" i="1"/>
  <c r="CW15" i="1" s="1"/>
  <c r="CW12" i="1"/>
  <c r="CW13" i="1"/>
  <c r="AJ30" i="1"/>
  <c r="AJ31" i="1" s="1"/>
  <c r="DA6" i="1"/>
  <c r="AJ32" i="1" l="1"/>
  <c r="AJ33" i="1" s="1"/>
  <c r="AJ21" i="1" s="1"/>
  <c r="AJ22" i="1" s="1"/>
  <c r="CW46" i="1"/>
  <c r="CX44" i="1"/>
  <c r="CX10" i="1" s="1"/>
  <c r="CY7" i="1"/>
  <c r="CX13" i="1"/>
  <c r="CX12" i="1"/>
  <c r="CX38" i="1"/>
  <c r="CX45" i="1"/>
  <c r="CX15" i="1" s="1"/>
  <c r="DB6" i="1"/>
  <c r="CW11" i="1"/>
  <c r="AJ35" i="1" l="1"/>
  <c r="CX46" i="1"/>
  <c r="DC6" i="1"/>
  <c r="CX11" i="1"/>
  <c r="BI17" i="1"/>
  <c r="BJ40" i="1" s="1"/>
  <c r="CY44" i="1"/>
  <c r="CY10" i="1" s="1"/>
  <c r="CZ7" i="1"/>
  <c r="CY12" i="1"/>
  <c r="CY38" i="1"/>
  <c r="CY45" i="1"/>
  <c r="CY15" i="1" s="1"/>
  <c r="CY13" i="1"/>
  <c r="DD6" i="1" l="1"/>
  <c r="CY46" i="1"/>
  <c r="CY11" i="1"/>
  <c r="BJ14" i="1"/>
  <c r="BJ16" i="1" s="1"/>
  <c r="BJ28" i="1"/>
  <c r="BI12" i="1"/>
  <c r="AJ61" i="1"/>
  <c r="AJ23" i="1"/>
  <c r="CZ44" i="1"/>
  <c r="CZ10" i="1" s="1"/>
  <c r="DA7" i="1"/>
  <c r="CZ13" i="1"/>
  <c r="CZ45" i="1"/>
  <c r="CZ15" i="1" s="1"/>
  <c r="CZ38" i="1"/>
  <c r="CZ12" i="1"/>
  <c r="CZ11" i="1" l="1"/>
  <c r="AK20" i="1"/>
  <c r="AJ25" i="1"/>
  <c r="DE6" i="1"/>
  <c r="CZ46" i="1"/>
  <c r="DA44" i="1"/>
  <c r="DA10" i="1" s="1"/>
  <c r="DB7" i="1"/>
  <c r="DA45" i="1"/>
  <c r="DA15" i="1" s="1"/>
  <c r="DA13" i="1"/>
  <c r="DA12" i="1"/>
  <c r="DA38" i="1"/>
  <c r="DA11" i="1" l="1"/>
  <c r="AK27" i="1"/>
  <c r="AK29" i="1" s="1"/>
  <c r="BJ17" i="1"/>
  <c r="BK40" i="1" s="1"/>
  <c r="DA46" i="1"/>
  <c r="DB44" i="1"/>
  <c r="DB10" i="1" s="1"/>
  <c r="DC7" i="1"/>
  <c r="DB12" i="1"/>
  <c r="DB38" i="1"/>
  <c r="DB13" i="1"/>
  <c r="DB45" i="1"/>
  <c r="DB15" i="1" s="1"/>
  <c r="DF6" i="1"/>
  <c r="DC44" i="1" l="1"/>
  <c r="DC10" i="1" s="1"/>
  <c r="DD7" i="1"/>
  <c r="DC13" i="1"/>
  <c r="DC12" i="1"/>
  <c r="DC45" i="1"/>
  <c r="DC15" i="1" s="1"/>
  <c r="DC38" i="1"/>
  <c r="BK14" i="1"/>
  <c r="BK16" i="1" s="1"/>
  <c r="BK28" i="1"/>
  <c r="BJ12" i="1"/>
  <c r="DB46" i="1"/>
  <c r="AK30" i="1"/>
  <c r="AK31" i="1" s="1"/>
  <c r="DB11" i="1"/>
  <c r="DG6" i="1"/>
  <c r="AK32" i="1" l="1"/>
  <c r="AK33" i="1" s="1"/>
  <c r="AK21" i="1" s="1"/>
  <c r="AK22" i="1" s="1"/>
  <c r="DD44" i="1"/>
  <c r="DD10" i="1" s="1"/>
  <c r="DE7" i="1"/>
  <c r="DD38" i="1"/>
  <c r="DD45" i="1"/>
  <c r="DD15" i="1" s="1"/>
  <c r="DD13" i="1"/>
  <c r="DD12" i="1"/>
  <c r="DH6" i="1"/>
  <c r="DC46" i="1"/>
  <c r="DC11" i="1"/>
  <c r="AK35" i="1" l="1"/>
  <c r="DI6" i="1"/>
  <c r="DD11" i="1"/>
  <c r="DD46" i="1"/>
  <c r="DE44" i="1"/>
  <c r="DE10" i="1" s="1"/>
  <c r="DF7" i="1"/>
  <c r="DE38" i="1"/>
  <c r="DE45" i="1"/>
  <c r="DE15" i="1" s="1"/>
  <c r="DE13" i="1"/>
  <c r="DE12" i="1"/>
  <c r="BK17" i="1"/>
  <c r="BL40" i="1" s="1"/>
  <c r="BL14" i="1" l="1"/>
  <c r="BL16" i="1" s="1"/>
  <c r="BL28" i="1"/>
  <c r="BK12" i="1"/>
  <c r="DF44" i="1"/>
  <c r="DF10" i="1" s="1"/>
  <c r="DG7" i="1"/>
  <c r="DF38" i="1"/>
  <c r="DF45" i="1"/>
  <c r="DF15" i="1" s="1"/>
  <c r="DF12" i="1"/>
  <c r="DF13" i="1"/>
  <c r="DJ6" i="1"/>
  <c r="DE11" i="1"/>
  <c r="DE46" i="1"/>
  <c r="AK61" i="1"/>
  <c r="AK23" i="1"/>
  <c r="AL20" i="1" l="1"/>
  <c r="AK25" i="1"/>
  <c r="DF11" i="1"/>
  <c r="DK6" i="1"/>
  <c r="DF46" i="1"/>
  <c r="DG44" i="1"/>
  <c r="DG10" i="1" s="1"/>
  <c r="DG32" i="1"/>
  <c r="DH7" i="1"/>
  <c r="DH16" i="1" s="1"/>
  <c r="DG38" i="1"/>
  <c r="DG12" i="1"/>
  <c r="DG45" i="1"/>
  <c r="DG15" i="1" s="1"/>
  <c r="DG13" i="1"/>
  <c r="DL6" i="1" l="1"/>
  <c r="DG46" i="1"/>
  <c r="DG11" i="1"/>
  <c r="BL17" i="1"/>
  <c r="BM40" i="1" s="1"/>
  <c r="DH44" i="1"/>
  <c r="DH10" i="1" s="1"/>
  <c r="DH32" i="1"/>
  <c r="DH27" i="1"/>
  <c r="DI7" i="1"/>
  <c r="DI16" i="1" s="1"/>
  <c r="DH45" i="1"/>
  <c r="DH15" i="1" s="1"/>
  <c r="DH13" i="1"/>
  <c r="DH12" i="1"/>
  <c r="DH38" i="1"/>
  <c r="AL27" i="1"/>
  <c r="AL29" i="1" s="1"/>
  <c r="DH46" i="1" l="1"/>
  <c r="DI44" i="1"/>
  <c r="DI10" i="1" s="1"/>
  <c r="DI32" i="1"/>
  <c r="DI27" i="1"/>
  <c r="DJ7" i="1"/>
  <c r="DJ16" i="1" s="1"/>
  <c r="DI12" i="1"/>
  <c r="DI38" i="1"/>
  <c r="DI45" i="1"/>
  <c r="DI15" i="1" s="1"/>
  <c r="DI13" i="1"/>
  <c r="DM6" i="1"/>
  <c r="DH11" i="1"/>
  <c r="AL30" i="1"/>
  <c r="AL31" i="1" s="1"/>
  <c r="BM14" i="1"/>
  <c r="BM16" i="1" s="1"/>
  <c r="BM28" i="1"/>
  <c r="BL12" i="1"/>
  <c r="AL32" i="1" l="1"/>
  <c r="AL33" i="1" s="1"/>
  <c r="AL21" i="1" s="1"/>
  <c r="AL22" i="1" s="1"/>
  <c r="DJ44" i="1"/>
  <c r="DJ10" i="1" s="1"/>
  <c r="DJ32" i="1"/>
  <c r="DJ27" i="1"/>
  <c r="DK7" i="1"/>
  <c r="DK16" i="1" s="1"/>
  <c r="DJ12" i="1"/>
  <c r="DJ38" i="1"/>
  <c r="DJ13" i="1"/>
  <c r="DJ45" i="1"/>
  <c r="DJ15" i="1" s="1"/>
  <c r="DI11" i="1"/>
  <c r="DN6" i="1"/>
  <c r="DI46" i="1"/>
  <c r="BM17" i="1"/>
  <c r="BN40" i="1" s="1"/>
  <c r="BN14" i="1" l="1"/>
  <c r="BN16" i="1" s="1"/>
  <c r="BN28" i="1"/>
  <c r="BM12" i="1"/>
  <c r="AL35" i="1"/>
  <c r="DK44" i="1"/>
  <c r="DK10" i="1" s="1"/>
  <c r="DK32" i="1"/>
  <c r="DK27" i="1"/>
  <c r="DL7" i="1"/>
  <c r="DL16" i="1" s="1"/>
  <c r="DK12" i="1"/>
  <c r="DK45" i="1"/>
  <c r="DK15" i="1" s="1"/>
  <c r="DK38" i="1"/>
  <c r="DK13" i="1"/>
  <c r="DO6" i="1"/>
  <c r="DJ46" i="1"/>
  <c r="DJ11" i="1"/>
  <c r="DK11" i="1" l="1"/>
  <c r="DP6" i="1"/>
  <c r="DK46" i="1"/>
  <c r="AL61" i="1"/>
  <c r="AL23" i="1"/>
  <c r="DL44" i="1"/>
  <c r="DL10" i="1" s="1"/>
  <c r="DL32" i="1"/>
  <c r="DL27" i="1"/>
  <c r="DM7" i="1"/>
  <c r="DM16" i="1" s="1"/>
  <c r="DL12" i="1"/>
  <c r="DL38" i="1"/>
  <c r="DL45" i="1"/>
  <c r="DL15" i="1" s="1"/>
  <c r="DL13" i="1"/>
  <c r="DL11" i="1" l="1"/>
  <c r="DL46" i="1"/>
  <c r="AM20" i="1"/>
  <c r="AL25" i="1"/>
  <c r="BN17" i="1"/>
  <c r="BO40" i="1" s="1"/>
  <c r="DQ6" i="1"/>
  <c r="DM44" i="1"/>
  <c r="DM10" i="1" s="1"/>
  <c r="DM32" i="1"/>
  <c r="DM27" i="1"/>
  <c r="DN7" i="1"/>
  <c r="DN16" i="1" s="1"/>
  <c r="DM45" i="1"/>
  <c r="DM15" i="1" s="1"/>
  <c r="DM13" i="1"/>
  <c r="DM38" i="1"/>
  <c r="DM12" i="1"/>
  <c r="AM27" i="1" l="1"/>
  <c r="AM29" i="1" s="1"/>
  <c r="DM11" i="1"/>
  <c r="DR6" i="1"/>
  <c r="DM46" i="1"/>
  <c r="DN44" i="1"/>
  <c r="DN10" i="1" s="1"/>
  <c r="DN32" i="1"/>
  <c r="DN27" i="1"/>
  <c r="DO7" i="1"/>
  <c r="DO16" i="1" s="1"/>
  <c r="DN45" i="1"/>
  <c r="DN15" i="1" s="1"/>
  <c r="DN13" i="1"/>
  <c r="DN12" i="1"/>
  <c r="DN38" i="1"/>
  <c r="BO14" i="1"/>
  <c r="BO16" i="1" s="1"/>
  <c r="BO28" i="1"/>
  <c r="BN12" i="1"/>
  <c r="DN11" i="1" l="1"/>
  <c r="DN46" i="1"/>
  <c r="DS6" i="1"/>
  <c r="AM30" i="1"/>
  <c r="AM31" i="1" s="1"/>
  <c r="DO44" i="1"/>
  <c r="DO10" i="1" s="1"/>
  <c r="DO32" i="1"/>
  <c r="DO27" i="1"/>
  <c r="DP7" i="1"/>
  <c r="DP16" i="1" s="1"/>
  <c r="DO38" i="1"/>
  <c r="DO45" i="1"/>
  <c r="DO15" i="1" s="1"/>
  <c r="DO13" i="1"/>
  <c r="DO12" i="1"/>
  <c r="DO11" i="1" l="1"/>
  <c r="AM32" i="1"/>
  <c r="AM33" i="1" s="1"/>
  <c r="AM21" i="1" s="1"/>
  <c r="AM22" i="1" s="1"/>
  <c r="BO17" i="1"/>
  <c r="BP40" i="1" s="1"/>
  <c r="DO46" i="1"/>
  <c r="DT6" i="1"/>
  <c r="DP44" i="1"/>
  <c r="DP10" i="1" s="1"/>
  <c r="DP32" i="1"/>
  <c r="DP27" i="1"/>
  <c r="DQ7" i="1"/>
  <c r="DQ16" i="1" s="1"/>
  <c r="DP38" i="1"/>
  <c r="DP45" i="1"/>
  <c r="DP15" i="1" s="1"/>
  <c r="DP12" i="1"/>
  <c r="DP13" i="1"/>
  <c r="AM35" i="1" l="1"/>
  <c r="BP14" i="1"/>
  <c r="BP16" i="1" s="1"/>
  <c r="BP28" i="1"/>
  <c r="BO12" i="1"/>
  <c r="DP11" i="1"/>
  <c r="DP46" i="1"/>
  <c r="DU6" i="1"/>
  <c r="DQ44" i="1"/>
  <c r="DQ10" i="1" s="1"/>
  <c r="DQ32" i="1"/>
  <c r="DQ27" i="1"/>
  <c r="DR7" i="1"/>
  <c r="DR16" i="1" s="1"/>
  <c r="DQ12" i="1"/>
  <c r="DQ38" i="1"/>
  <c r="DQ45" i="1"/>
  <c r="DQ15" i="1" s="1"/>
  <c r="DQ13" i="1"/>
  <c r="DQ11" i="1" l="1"/>
  <c r="DQ46" i="1"/>
  <c r="DV6" i="1"/>
  <c r="BP17" i="1"/>
  <c r="BQ40" i="1" s="1"/>
  <c r="DR44" i="1"/>
  <c r="DR10" i="1" s="1"/>
  <c r="DR32" i="1"/>
  <c r="DR27" i="1"/>
  <c r="DS7" i="1"/>
  <c r="DS16" i="1" s="1"/>
  <c r="DR12" i="1"/>
  <c r="DR13" i="1"/>
  <c r="DR45" i="1"/>
  <c r="DR15" i="1" s="1"/>
  <c r="DR38" i="1"/>
  <c r="AM61" i="1"/>
  <c r="AM23" i="1"/>
  <c r="BQ14" i="1" l="1"/>
  <c r="BQ16" i="1" s="1"/>
  <c r="BQ28" i="1"/>
  <c r="BP12" i="1"/>
  <c r="DW6" i="1"/>
  <c r="AN20" i="1"/>
  <c r="AM25" i="1"/>
  <c r="DS44" i="1"/>
  <c r="DS10" i="1" s="1"/>
  <c r="DS32" i="1"/>
  <c r="DS27" i="1"/>
  <c r="DT7" i="1"/>
  <c r="DT16" i="1" s="1"/>
  <c r="DS45" i="1"/>
  <c r="DS15" i="1" s="1"/>
  <c r="DS13" i="1"/>
  <c r="DS12" i="1"/>
  <c r="DS38" i="1"/>
  <c r="DR11" i="1"/>
  <c r="DR46" i="1"/>
  <c r="DS46" i="1" l="1"/>
  <c r="DX6" i="1"/>
  <c r="DT44" i="1"/>
  <c r="DT10" i="1" s="1"/>
  <c r="DT32" i="1"/>
  <c r="DT27" i="1"/>
  <c r="DU7" i="1"/>
  <c r="DU16" i="1" s="1"/>
  <c r="DT12" i="1"/>
  <c r="DT38" i="1"/>
  <c r="DT45" i="1"/>
  <c r="DT15" i="1" s="1"/>
  <c r="DT13" i="1"/>
  <c r="DS11" i="1"/>
  <c r="BQ17" i="1"/>
  <c r="BR40" i="1" s="1"/>
  <c r="AN27" i="1"/>
  <c r="AN29" i="1" s="1"/>
  <c r="BR14" i="1" l="1"/>
  <c r="BR16" i="1" s="1"/>
  <c r="BR28" i="1"/>
  <c r="BQ12" i="1"/>
  <c r="DT11" i="1"/>
  <c r="DT46" i="1"/>
  <c r="DY6" i="1"/>
  <c r="AN30" i="1"/>
  <c r="AN31" i="1" s="1"/>
  <c r="DU44" i="1"/>
  <c r="DU10" i="1" s="1"/>
  <c r="DU32" i="1"/>
  <c r="DU27" i="1"/>
  <c r="DV7" i="1"/>
  <c r="DV16" i="1" s="1"/>
  <c r="DU12" i="1"/>
  <c r="DU38" i="1"/>
  <c r="DU45" i="1"/>
  <c r="DU15" i="1" s="1"/>
  <c r="DU13" i="1"/>
  <c r="AN32" i="1" l="1"/>
  <c r="AN33" i="1" s="1"/>
  <c r="AN21" i="1" s="1"/>
  <c r="AN22" i="1" s="1"/>
  <c r="DU46" i="1"/>
  <c r="DU11" i="1"/>
  <c r="DV44" i="1"/>
  <c r="DV10" i="1" s="1"/>
  <c r="DV32" i="1"/>
  <c r="DV27" i="1"/>
  <c r="DW7" i="1"/>
  <c r="DW16" i="1" s="1"/>
  <c r="DV12" i="1"/>
  <c r="DV38" i="1"/>
  <c r="DV45" i="1"/>
  <c r="DV15" i="1" s="1"/>
  <c r="DV13" i="1"/>
  <c r="DZ6" i="1"/>
  <c r="BR17" i="1"/>
  <c r="BS40" i="1" s="1"/>
  <c r="BS14" i="1" l="1"/>
  <c r="BS28" i="1"/>
  <c r="BR12" i="1"/>
  <c r="AN35" i="1"/>
  <c r="DV46" i="1"/>
  <c r="EA6" i="1"/>
  <c r="DW44" i="1"/>
  <c r="DW10" i="1" s="1"/>
  <c r="DW32" i="1"/>
  <c r="DW27" i="1"/>
  <c r="DX7" i="1"/>
  <c r="DX16" i="1" s="1"/>
  <c r="DW45" i="1"/>
  <c r="DW15" i="1" s="1"/>
  <c r="DW13" i="1"/>
  <c r="DW38" i="1"/>
  <c r="DW12" i="1"/>
  <c r="DV11" i="1"/>
  <c r="BS16" i="1" l="1"/>
  <c r="BS17" i="1" s="1"/>
  <c r="BT40" i="1" s="1"/>
  <c r="AN61" i="1"/>
  <c r="DW11" i="1"/>
  <c r="AN23" i="1"/>
  <c r="EB6" i="1"/>
  <c r="DW46" i="1"/>
  <c r="DX44" i="1"/>
  <c r="DX10" i="1" s="1"/>
  <c r="DX32" i="1"/>
  <c r="DX27" i="1"/>
  <c r="DY7" i="1"/>
  <c r="DY16" i="1" s="1"/>
  <c r="DX45" i="1"/>
  <c r="DX15" i="1" s="1"/>
  <c r="DX13" i="1"/>
  <c r="DX12" i="1"/>
  <c r="DX38" i="1"/>
  <c r="BT14" i="1" l="1"/>
  <c r="BT16" i="1" s="1"/>
  <c r="BT28" i="1"/>
  <c r="BS12" i="1"/>
  <c r="DY44" i="1"/>
  <c r="DY10" i="1" s="1"/>
  <c r="DY32" i="1"/>
  <c r="DY27" i="1"/>
  <c r="DZ7" i="1"/>
  <c r="DZ16" i="1" s="1"/>
  <c r="DY38" i="1"/>
  <c r="DY12" i="1"/>
  <c r="DY45" i="1"/>
  <c r="DY15" i="1" s="1"/>
  <c r="DY13" i="1"/>
  <c r="EC6" i="1"/>
  <c r="DX11" i="1"/>
  <c r="AO20" i="1"/>
  <c r="AN25" i="1"/>
  <c r="DX46" i="1"/>
  <c r="AO27" i="1" l="1"/>
  <c r="AO29" i="1" s="1"/>
  <c r="DY11" i="1"/>
  <c r="DY46" i="1"/>
  <c r="ED6" i="1"/>
  <c r="DZ44" i="1"/>
  <c r="DZ10" i="1" s="1"/>
  <c r="DZ32" i="1"/>
  <c r="DZ27" i="1"/>
  <c r="EA7" i="1"/>
  <c r="EA16" i="1" s="1"/>
  <c r="DZ12" i="1"/>
  <c r="DZ13" i="1"/>
  <c r="DZ45" i="1"/>
  <c r="DZ15" i="1" s="1"/>
  <c r="DZ38" i="1"/>
  <c r="DZ46" i="1" l="1"/>
  <c r="BT17" i="1"/>
  <c r="EA44" i="1"/>
  <c r="EA10" i="1" s="1"/>
  <c r="EA32" i="1"/>
  <c r="EA27" i="1"/>
  <c r="EB7" i="1"/>
  <c r="EB16" i="1" s="1"/>
  <c r="EA45" i="1"/>
  <c r="EA15" i="1" s="1"/>
  <c r="EA38" i="1"/>
  <c r="EA13" i="1"/>
  <c r="EA12" i="1"/>
  <c r="EE6" i="1"/>
  <c r="AO30" i="1"/>
  <c r="AO31" i="1" s="1"/>
  <c r="DZ11" i="1"/>
  <c r="AO32" i="1" l="1"/>
  <c r="AO33" i="1" s="1"/>
  <c r="AO21" i="1" s="1"/>
  <c r="AO22" i="1" s="1"/>
  <c r="EA11" i="1"/>
  <c r="EF6" i="1"/>
  <c r="BU14" i="1"/>
  <c r="BU16" i="1" s="1"/>
  <c r="BU28" i="1"/>
  <c r="BU40" i="1"/>
  <c r="BT12" i="1"/>
  <c r="EA46" i="1"/>
  <c r="EB44" i="1"/>
  <c r="EB10" i="1" s="1"/>
  <c r="EB32" i="1"/>
  <c r="EB27" i="1"/>
  <c r="EC7" i="1"/>
  <c r="EC16" i="1" s="1"/>
  <c r="EB38" i="1"/>
  <c r="EB45" i="1"/>
  <c r="EB15" i="1" s="1"/>
  <c r="EB13" i="1"/>
  <c r="EB12" i="1"/>
  <c r="AO35" i="1" l="1"/>
  <c r="EG6" i="1"/>
  <c r="EB46" i="1"/>
  <c r="EC44" i="1"/>
  <c r="EC10" i="1" s="1"/>
  <c r="EC32" i="1"/>
  <c r="EC27" i="1"/>
  <c r="ED7" i="1"/>
  <c r="ED16" i="1" s="1"/>
  <c r="EC13" i="1"/>
  <c r="EC38" i="1"/>
  <c r="EC45" i="1"/>
  <c r="EC15" i="1" s="1"/>
  <c r="EC12" i="1"/>
  <c r="EB11" i="1"/>
  <c r="EC46" i="1" l="1"/>
  <c r="BU17" i="1"/>
  <c r="EH6" i="1"/>
  <c r="ED44" i="1"/>
  <c r="ED10" i="1" s="1"/>
  <c r="ED32" i="1"/>
  <c r="ED27" i="1"/>
  <c r="EE7" i="1"/>
  <c r="EE16" i="1" s="1"/>
  <c r="ED12" i="1"/>
  <c r="ED38" i="1"/>
  <c r="ED45" i="1"/>
  <c r="ED15" i="1" s="1"/>
  <c r="ED13" i="1"/>
  <c r="AO61" i="1"/>
  <c r="EC11" i="1"/>
  <c r="AO23" i="1"/>
  <c r="ED46" i="1" l="1"/>
  <c r="EI6" i="1"/>
  <c r="AP20" i="1"/>
  <c r="AO25" i="1"/>
  <c r="EE44" i="1"/>
  <c r="EE10" i="1" s="1"/>
  <c r="EE32" i="1"/>
  <c r="EE27" i="1"/>
  <c r="EF7" i="1"/>
  <c r="EF16" i="1" s="1"/>
  <c r="EE45" i="1"/>
  <c r="EE15" i="1" s="1"/>
  <c r="EE13" i="1"/>
  <c r="EE12" i="1"/>
  <c r="EE38" i="1"/>
  <c r="BV14" i="1"/>
  <c r="BV16" i="1" s="1"/>
  <c r="BV28" i="1"/>
  <c r="BV40" i="1"/>
  <c r="ED11" i="1"/>
  <c r="EE11" i="1" l="1"/>
  <c r="AP27" i="1"/>
  <c r="AP29" i="1" s="1"/>
  <c r="EE46" i="1"/>
  <c r="EJ6" i="1"/>
  <c r="EF44" i="1"/>
  <c r="EF10" i="1" s="1"/>
  <c r="EF32" i="1"/>
  <c r="EF27" i="1"/>
  <c r="EG7" i="1"/>
  <c r="EG16" i="1" s="1"/>
  <c r="EF12" i="1"/>
  <c r="EF45" i="1"/>
  <c r="EF15" i="1" s="1"/>
  <c r="EF38" i="1"/>
  <c r="EF13" i="1"/>
  <c r="BV17" i="1" l="1"/>
  <c r="BW14" i="1" s="1"/>
  <c r="BW16" i="1" s="1"/>
  <c r="EF11" i="1"/>
  <c r="EF46" i="1"/>
  <c r="EK6" i="1"/>
  <c r="AP30" i="1"/>
  <c r="AP31" i="1" s="1"/>
  <c r="EG44" i="1"/>
  <c r="EG10" i="1" s="1"/>
  <c r="EG32" i="1"/>
  <c r="EG27" i="1"/>
  <c r="EH7" i="1"/>
  <c r="EH16" i="1" s="1"/>
  <c r="EG38" i="1"/>
  <c r="EG45" i="1"/>
  <c r="EG15" i="1" s="1"/>
  <c r="EG13" i="1"/>
  <c r="EG12" i="1"/>
  <c r="EH44" i="1" l="1"/>
  <c r="EH10" i="1" s="1"/>
  <c r="EH32" i="1"/>
  <c r="EH27" i="1"/>
  <c r="EI7" i="1"/>
  <c r="EI16" i="1" s="1"/>
  <c r="EH12" i="1"/>
  <c r="EH45" i="1"/>
  <c r="EH15" i="1" s="1"/>
  <c r="EH38" i="1"/>
  <c r="EH13" i="1"/>
  <c r="EG11" i="1"/>
  <c r="EG46" i="1"/>
  <c r="AP32" i="1"/>
  <c r="AP33" i="1" s="1"/>
  <c r="AP21" i="1" s="1"/>
  <c r="AP22" i="1" s="1"/>
  <c r="BW40" i="1"/>
  <c r="BW28" i="1"/>
  <c r="EL6" i="1"/>
  <c r="AP35" i="1" l="1"/>
  <c r="EH46" i="1"/>
  <c r="EI44" i="1"/>
  <c r="EI10" i="1" s="1"/>
  <c r="EI32" i="1"/>
  <c r="EI27" i="1"/>
  <c r="EJ7" i="1"/>
  <c r="EJ16" i="1" s="1"/>
  <c r="EI45" i="1"/>
  <c r="EI15" i="1" s="1"/>
  <c r="EI38" i="1"/>
  <c r="EI12" i="1"/>
  <c r="EI13" i="1"/>
  <c r="EM6" i="1"/>
  <c r="EH11" i="1"/>
  <c r="EI11" i="1" l="1"/>
  <c r="EN6" i="1"/>
  <c r="BW17" i="1"/>
  <c r="EI46" i="1"/>
  <c r="EJ44" i="1"/>
  <c r="EJ10" i="1" s="1"/>
  <c r="EJ32" i="1"/>
  <c r="EJ27" i="1"/>
  <c r="EK7" i="1"/>
  <c r="EK16" i="1" s="1"/>
  <c r="EJ45" i="1"/>
  <c r="EJ15" i="1" s="1"/>
  <c r="EJ13" i="1"/>
  <c r="EJ12" i="1"/>
  <c r="EJ38" i="1"/>
  <c r="AP61" i="1"/>
  <c r="AP23" i="1"/>
  <c r="EJ46" i="1" l="1"/>
  <c r="EK44" i="1"/>
  <c r="EK10" i="1" s="1"/>
  <c r="EK32" i="1"/>
  <c r="EK27" i="1"/>
  <c r="EL7" i="1"/>
  <c r="EL16" i="1" s="1"/>
  <c r="EK45" i="1"/>
  <c r="EK15" i="1" s="1"/>
  <c r="EK13" i="1"/>
  <c r="EK12" i="1"/>
  <c r="EK38" i="1"/>
  <c r="BX14" i="1"/>
  <c r="BX16" i="1" s="1"/>
  <c r="BX40" i="1"/>
  <c r="BX28" i="1"/>
  <c r="AQ20" i="1"/>
  <c r="AP25" i="1"/>
  <c r="EO6" i="1"/>
  <c r="EJ11" i="1"/>
  <c r="EP6" i="1" l="1"/>
  <c r="EK46" i="1"/>
  <c r="EL44" i="1"/>
  <c r="EL10" i="1" s="1"/>
  <c r="EL32" i="1"/>
  <c r="EL27" i="1"/>
  <c r="EM7" i="1"/>
  <c r="EM16" i="1" s="1"/>
  <c r="EL38" i="1"/>
  <c r="EL45" i="1"/>
  <c r="EL15" i="1" s="1"/>
  <c r="EL12" i="1"/>
  <c r="EL13" i="1"/>
  <c r="AQ27" i="1"/>
  <c r="AQ29" i="1" s="1"/>
  <c r="EK11" i="1"/>
  <c r="EL11" i="1" l="1"/>
  <c r="AQ30" i="1"/>
  <c r="AQ31" i="1" s="1"/>
  <c r="EL46" i="1"/>
  <c r="EM44" i="1"/>
  <c r="EM10" i="1" s="1"/>
  <c r="EM32" i="1"/>
  <c r="EM27" i="1"/>
  <c r="EN7" i="1"/>
  <c r="EN16" i="1" s="1"/>
  <c r="EM13" i="1"/>
  <c r="EM38" i="1"/>
  <c r="EM12" i="1"/>
  <c r="EM45" i="1"/>
  <c r="EM15" i="1" s="1"/>
  <c r="BX17" i="1"/>
  <c r="EQ6" i="1"/>
  <c r="BY14" i="1" l="1"/>
  <c r="BY16" i="1" s="1"/>
  <c r="BY28" i="1"/>
  <c r="BY40" i="1"/>
  <c r="EN44" i="1"/>
  <c r="EN10" i="1" s="1"/>
  <c r="EN32" i="1"/>
  <c r="EN27" i="1"/>
  <c r="EO7" i="1"/>
  <c r="EO16" i="1" s="1"/>
  <c r="EN12" i="1"/>
  <c r="EN38" i="1"/>
  <c r="EN45" i="1"/>
  <c r="EN15" i="1" s="1"/>
  <c r="EN13" i="1"/>
  <c r="AQ32" i="1"/>
  <c r="AQ33" i="1" s="1"/>
  <c r="AQ21" i="1" s="1"/>
  <c r="AQ22" i="1" s="1"/>
  <c r="EM46" i="1"/>
  <c r="ER6" i="1"/>
  <c r="EM11" i="1"/>
  <c r="AQ35" i="1" l="1"/>
  <c r="EN46" i="1"/>
  <c r="EN11" i="1"/>
  <c r="BY17" i="1"/>
  <c r="EO44" i="1"/>
  <c r="EO10" i="1" s="1"/>
  <c r="EO32" i="1"/>
  <c r="EO27" i="1"/>
  <c r="EP7" i="1"/>
  <c r="EP16" i="1" s="1"/>
  <c r="EO45" i="1"/>
  <c r="EO15" i="1" s="1"/>
  <c r="EO13" i="1"/>
  <c r="EO38" i="1"/>
  <c r="EO12" i="1"/>
  <c r="ES6" i="1"/>
  <c r="ET6" i="1" l="1"/>
  <c r="BZ14" i="1"/>
  <c r="BZ16" i="1" s="1"/>
  <c r="BZ40" i="1"/>
  <c r="BZ28" i="1"/>
  <c r="EO46" i="1"/>
  <c r="EP44" i="1"/>
  <c r="EP10" i="1" s="1"/>
  <c r="EP32" i="1"/>
  <c r="EP27" i="1"/>
  <c r="EQ7" i="1"/>
  <c r="EQ16" i="1" s="1"/>
  <c r="EP12" i="1"/>
  <c r="EP13" i="1"/>
  <c r="EP45" i="1"/>
  <c r="EP15" i="1" s="1"/>
  <c r="EP38" i="1"/>
  <c r="EO11" i="1"/>
  <c r="AQ61" i="1"/>
  <c r="AQ23" i="1"/>
  <c r="EQ44" i="1" l="1"/>
  <c r="EQ10" i="1" s="1"/>
  <c r="EQ32" i="1"/>
  <c r="EQ27" i="1"/>
  <c r="ER7" i="1"/>
  <c r="ER16" i="1" s="1"/>
  <c r="EQ45" i="1"/>
  <c r="EQ15" i="1" s="1"/>
  <c r="EQ38" i="1"/>
  <c r="EQ13" i="1"/>
  <c r="EQ12" i="1"/>
  <c r="EU6" i="1"/>
  <c r="EP46" i="1"/>
  <c r="EP11" i="1"/>
  <c r="AR20" i="1"/>
  <c r="AQ25" i="1"/>
  <c r="AR27" i="1" l="1"/>
  <c r="AR29" i="1" s="1"/>
  <c r="BZ17" i="1"/>
  <c r="EQ46" i="1"/>
  <c r="ER44" i="1"/>
  <c r="ER10" i="1" s="1"/>
  <c r="ER32" i="1"/>
  <c r="ER27" i="1"/>
  <c r="ES7" i="1"/>
  <c r="ES16" i="1" s="1"/>
  <c r="ER13" i="1"/>
  <c r="ER38" i="1"/>
  <c r="ER45" i="1"/>
  <c r="ER15" i="1" s="1"/>
  <c r="ER12" i="1"/>
  <c r="EV6" i="1"/>
  <c r="EQ11" i="1"/>
  <c r="CA14" i="1" l="1"/>
  <c r="CA16" i="1" s="1"/>
  <c r="CA40" i="1"/>
  <c r="CA28" i="1"/>
  <c r="ES44" i="1"/>
  <c r="ES10" i="1" s="1"/>
  <c r="ES32" i="1"/>
  <c r="ES27" i="1"/>
  <c r="ET7" i="1"/>
  <c r="ET16" i="1" s="1"/>
  <c r="ES12" i="1"/>
  <c r="ES13" i="1"/>
  <c r="ES38" i="1"/>
  <c r="ES45" i="1"/>
  <c r="ES15" i="1" s="1"/>
  <c r="AR30" i="1"/>
  <c r="AR31" i="1" s="1"/>
  <c r="EW6" i="1"/>
  <c r="ER46" i="1"/>
  <c r="ER11" i="1"/>
  <c r="AR32" i="1" l="1"/>
  <c r="AR33" i="1" s="1"/>
  <c r="AR21" i="1" s="1"/>
  <c r="AR22" i="1" s="1"/>
  <c r="EX6" i="1"/>
  <c r="ES46" i="1"/>
  <c r="ES11" i="1"/>
  <c r="ET44" i="1"/>
  <c r="ET10" i="1" s="1"/>
  <c r="ET32" i="1"/>
  <c r="ET27" i="1"/>
  <c r="EU7" i="1"/>
  <c r="EU16" i="1" s="1"/>
  <c r="ET38" i="1"/>
  <c r="ET45" i="1"/>
  <c r="ET15" i="1" s="1"/>
  <c r="ET13" i="1"/>
  <c r="ET12" i="1"/>
  <c r="AR35" i="1" l="1"/>
  <c r="EU44" i="1"/>
  <c r="EU10" i="1" s="1"/>
  <c r="EU32" i="1"/>
  <c r="EU27" i="1"/>
  <c r="EV7" i="1"/>
  <c r="EV16" i="1" s="1"/>
  <c r="EU45" i="1"/>
  <c r="EU15" i="1" s="1"/>
  <c r="EU13" i="1"/>
  <c r="EU12" i="1"/>
  <c r="EU38" i="1"/>
  <c r="EY6" i="1"/>
  <c r="ET11" i="1"/>
  <c r="ET46" i="1"/>
  <c r="CA17" i="1"/>
  <c r="EV44" i="1" l="1"/>
  <c r="EV10" i="1" s="1"/>
  <c r="EV32" i="1"/>
  <c r="EV27" i="1"/>
  <c r="EW7" i="1"/>
  <c r="EW16" i="1" s="1"/>
  <c r="EV38" i="1"/>
  <c r="EV45" i="1"/>
  <c r="EV15" i="1" s="1"/>
  <c r="EV12" i="1"/>
  <c r="EV13" i="1"/>
  <c r="EZ6" i="1"/>
  <c r="EU11" i="1"/>
  <c r="AR61" i="1"/>
  <c r="CB14" i="1"/>
  <c r="CB16" i="1" s="1"/>
  <c r="CB40" i="1"/>
  <c r="CB28" i="1"/>
  <c r="EU46" i="1"/>
  <c r="AR23" i="1"/>
  <c r="AS20" i="1" l="1"/>
  <c r="AR25" i="1"/>
  <c r="EV46" i="1"/>
  <c r="EW44" i="1"/>
  <c r="EW10" i="1" s="1"/>
  <c r="EW32" i="1"/>
  <c r="EW27" i="1"/>
  <c r="EX7" i="1"/>
  <c r="EX16" i="1" s="1"/>
  <c r="EW45" i="1"/>
  <c r="EW15" i="1" s="1"/>
  <c r="EW13" i="1"/>
  <c r="EW12" i="1"/>
  <c r="EW38" i="1"/>
  <c r="EV11" i="1"/>
  <c r="FA6" i="1"/>
  <c r="EW11" i="1" l="1"/>
  <c r="CB17" i="1"/>
  <c r="EW46" i="1"/>
  <c r="EX44" i="1"/>
  <c r="EX10" i="1" s="1"/>
  <c r="EX32" i="1"/>
  <c r="EX27" i="1"/>
  <c r="EY7" i="1"/>
  <c r="EY16" i="1" s="1"/>
  <c r="EX12" i="1"/>
  <c r="EX38" i="1"/>
  <c r="EX13" i="1"/>
  <c r="EX45" i="1"/>
  <c r="EX15" i="1" s="1"/>
  <c r="AS27" i="1"/>
  <c r="AS29" i="1" s="1"/>
  <c r="FB6" i="1"/>
  <c r="FC6" i="1" l="1"/>
  <c r="EX11" i="1"/>
  <c r="AS30" i="1"/>
  <c r="AS31" i="1" s="1"/>
  <c r="CC14" i="1"/>
  <c r="CC16" i="1" s="1"/>
  <c r="CC40" i="1"/>
  <c r="CC28" i="1"/>
  <c r="EY44" i="1"/>
  <c r="EY10" i="1" s="1"/>
  <c r="EY32" i="1"/>
  <c r="EY27" i="1"/>
  <c r="EZ7" i="1"/>
  <c r="EZ16" i="1" s="1"/>
  <c r="EY45" i="1"/>
  <c r="EY15" i="1" s="1"/>
  <c r="EY12" i="1"/>
  <c r="EY38" i="1"/>
  <c r="EY13" i="1"/>
  <c r="EX46" i="1"/>
  <c r="AS32" i="1" l="1"/>
  <c r="AS33" i="1" s="1"/>
  <c r="AS21" i="1" s="1"/>
  <c r="AS22" i="1" s="1"/>
  <c r="EY11" i="1"/>
  <c r="FD6" i="1"/>
  <c r="EY46" i="1"/>
  <c r="EZ44" i="1"/>
  <c r="EZ10" i="1" s="1"/>
  <c r="EZ32" i="1"/>
  <c r="EZ27" i="1"/>
  <c r="FA7" i="1"/>
  <c r="FA16" i="1" s="1"/>
  <c r="EZ12" i="1"/>
  <c r="EZ38" i="1"/>
  <c r="EZ45" i="1"/>
  <c r="EZ15" i="1" s="1"/>
  <c r="EZ13" i="1"/>
  <c r="AS35" i="1" l="1"/>
  <c r="EZ46" i="1"/>
  <c r="EZ11" i="1"/>
  <c r="CC17" i="1"/>
  <c r="FA44" i="1"/>
  <c r="FA10" i="1" s="1"/>
  <c r="FA32" i="1"/>
  <c r="FA27" i="1"/>
  <c r="FB7" i="1"/>
  <c r="FB16" i="1" s="1"/>
  <c r="FA12" i="1"/>
  <c r="FA38" i="1"/>
  <c r="FA45" i="1"/>
  <c r="FA15" i="1" s="1"/>
  <c r="FA13" i="1"/>
  <c r="FE6" i="1"/>
  <c r="CD14" i="1" l="1"/>
  <c r="CD16" i="1" s="1"/>
  <c r="CD28" i="1"/>
  <c r="CD40" i="1"/>
  <c r="FB44" i="1"/>
  <c r="FB10" i="1" s="1"/>
  <c r="FB32" i="1"/>
  <c r="FB27" i="1"/>
  <c r="FC7" i="1"/>
  <c r="FC16" i="1" s="1"/>
  <c r="FB45" i="1"/>
  <c r="FB15" i="1" s="1"/>
  <c r="FB13" i="1"/>
  <c r="FB38" i="1"/>
  <c r="FB12" i="1"/>
  <c r="FA11" i="1"/>
  <c r="AS61" i="1"/>
  <c r="FF6" i="1"/>
  <c r="FA46" i="1"/>
  <c r="AS23" i="1"/>
  <c r="FB11" i="1" l="1"/>
  <c r="FG6" i="1"/>
  <c r="AT20" i="1"/>
  <c r="AS25" i="1"/>
  <c r="FB46" i="1"/>
  <c r="FC44" i="1"/>
  <c r="FC10" i="1" s="1"/>
  <c r="FC32" i="1"/>
  <c r="FC27" i="1"/>
  <c r="FD7" i="1"/>
  <c r="FD16" i="1" s="1"/>
  <c r="FC12" i="1"/>
  <c r="FC38" i="1"/>
  <c r="FC45" i="1"/>
  <c r="FC15" i="1" s="1"/>
  <c r="FC13" i="1"/>
  <c r="AT27" i="1" l="1"/>
  <c r="AT29" i="1" s="1"/>
  <c r="FH6" i="1"/>
  <c r="FC46" i="1"/>
  <c r="CD17" i="1"/>
  <c r="FD44" i="1"/>
  <c r="FD10" i="1" s="1"/>
  <c r="FD32" i="1"/>
  <c r="FD27" i="1"/>
  <c r="FE7" i="1"/>
  <c r="FE16" i="1" s="1"/>
  <c r="FD38" i="1"/>
  <c r="FD45" i="1"/>
  <c r="FD15" i="1" s="1"/>
  <c r="FD13" i="1"/>
  <c r="FD12" i="1"/>
  <c r="FC11" i="1"/>
  <c r="FI6" i="1" l="1"/>
  <c r="FE44" i="1"/>
  <c r="FE10" i="1" s="1"/>
  <c r="FE32" i="1"/>
  <c r="FE27" i="1"/>
  <c r="FF7" i="1"/>
  <c r="FF16" i="1" s="1"/>
  <c r="FE38" i="1"/>
  <c r="FE12" i="1"/>
  <c r="FE45" i="1"/>
  <c r="FE15" i="1" s="1"/>
  <c r="FE13" i="1"/>
  <c r="FD11" i="1"/>
  <c r="CE14" i="1"/>
  <c r="CE16" i="1" s="1"/>
  <c r="CE40" i="1"/>
  <c r="CE28" i="1"/>
  <c r="FD46" i="1"/>
  <c r="AT30" i="1"/>
  <c r="AT31" i="1" s="1"/>
  <c r="AT32" i="1" l="1"/>
  <c r="AT33" i="1" s="1"/>
  <c r="AT21" i="1" s="1"/>
  <c r="AT22" i="1" s="1"/>
  <c r="FF44" i="1"/>
  <c r="FF10" i="1" s="1"/>
  <c r="FF32" i="1"/>
  <c r="FF27" i="1"/>
  <c r="FG7" i="1"/>
  <c r="FG16" i="1" s="1"/>
  <c r="FF12" i="1"/>
  <c r="FF38" i="1"/>
  <c r="FF45" i="1"/>
  <c r="FF15" i="1" s="1"/>
  <c r="FF13" i="1"/>
  <c r="FE46" i="1"/>
  <c r="FE11" i="1"/>
  <c r="FJ6" i="1"/>
  <c r="AT35" i="1" l="1"/>
  <c r="FG44" i="1"/>
  <c r="FG10" i="1" s="1"/>
  <c r="FG32" i="1"/>
  <c r="FG27" i="1"/>
  <c r="FH7" i="1"/>
  <c r="FH16" i="1" s="1"/>
  <c r="FG13" i="1"/>
  <c r="FG12" i="1"/>
  <c r="FG45" i="1"/>
  <c r="FG15" i="1" s="1"/>
  <c r="FG38" i="1"/>
  <c r="FK6" i="1"/>
  <c r="FF46" i="1"/>
  <c r="FF11" i="1"/>
  <c r="CE17" i="1"/>
  <c r="CF14" i="1" l="1"/>
  <c r="CF16" i="1" s="1"/>
  <c r="CF28" i="1"/>
  <c r="CF40" i="1"/>
  <c r="FH44" i="1"/>
  <c r="FH10" i="1" s="1"/>
  <c r="FH32" i="1"/>
  <c r="FH27" i="1"/>
  <c r="FI7" i="1"/>
  <c r="FI16" i="1" s="1"/>
  <c r="FH45" i="1"/>
  <c r="FH15" i="1" s="1"/>
  <c r="FH13" i="1"/>
  <c r="FH12" i="1"/>
  <c r="FH38" i="1"/>
  <c r="FL6" i="1"/>
  <c r="FG11" i="1"/>
  <c r="FG46" i="1"/>
  <c r="AT61" i="1"/>
  <c r="AT23" i="1"/>
  <c r="AU20" i="1" l="1"/>
  <c r="AT25" i="1"/>
  <c r="FH11" i="1"/>
  <c r="FM6" i="1"/>
  <c r="FH46" i="1"/>
  <c r="FI44" i="1"/>
  <c r="FI10" i="1" s="1"/>
  <c r="FI32" i="1"/>
  <c r="FI27" i="1"/>
  <c r="FJ7" i="1"/>
  <c r="FJ16" i="1" s="1"/>
  <c r="FI38" i="1"/>
  <c r="FI45" i="1"/>
  <c r="FI15" i="1" s="1"/>
  <c r="FI12" i="1"/>
  <c r="FI13" i="1"/>
  <c r="FI11" i="1" l="1"/>
  <c r="FI46" i="1"/>
  <c r="CF17" i="1"/>
  <c r="FJ44" i="1"/>
  <c r="FJ10" i="1" s="1"/>
  <c r="FJ32" i="1"/>
  <c r="FJ27" i="1"/>
  <c r="FK7" i="1"/>
  <c r="FK16" i="1" s="1"/>
  <c r="FJ13" i="1"/>
  <c r="FJ12" i="1"/>
  <c r="FJ38" i="1"/>
  <c r="FJ45" i="1"/>
  <c r="FJ15" i="1" s="1"/>
  <c r="AU27" i="1"/>
  <c r="AU29" i="1" s="1"/>
  <c r="FN6" i="1"/>
  <c r="CG14" i="1" l="1"/>
  <c r="CG16" i="1" s="1"/>
  <c r="CG17" i="1" s="1"/>
  <c r="CG40" i="1"/>
  <c r="CG28" i="1"/>
  <c r="FK44" i="1"/>
  <c r="FK10" i="1" s="1"/>
  <c r="FK32" i="1"/>
  <c r="FK27" i="1"/>
  <c r="FL7" i="1"/>
  <c r="FL16" i="1" s="1"/>
  <c r="FK12" i="1"/>
  <c r="FK38" i="1"/>
  <c r="FK45" i="1"/>
  <c r="FK15" i="1" s="1"/>
  <c r="FK13" i="1"/>
  <c r="AU30" i="1"/>
  <c r="AU31" i="1" s="1"/>
  <c r="FO6" i="1"/>
  <c r="FJ46" i="1"/>
  <c r="FJ11" i="1"/>
  <c r="FK11" i="1" l="1"/>
  <c r="AU32" i="1"/>
  <c r="AU33" i="1" s="1"/>
  <c r="AU21" i="1" s="1"/>
  <c r="AU22" i="1" s="1"/>
  <c r="FP6" i="1"/>
  <c r="FK46" i="1"/>
  <c r="FL44" i="1"/>
  <c r="FL10" i="1" s="1"/>
  <c r="FL32" i="1"/>
  <c r="FL27" i="1"/>
  <c r="FM7" i="1"/>
  <c r="FM16" i="1" s="1"/>
  <c r="FL45" i="1"/>
  <c r="FL15" i="1" s="1"/>
  <c r="FL13" i="1"/>
  <c r="FL38" i="1"/>
  <c r="FL12" i="1"/>
  <c r="CH14" i="1"/>
  <c r="CH16" i="1" s="1"/>
  <c r="CH17" i="1" s="1"/>
  <c r="CH40" i="1"/>
  <c r="CH28" i="1"/>
  <c r="AU35" i="1" l="1"/>
  <c r="FM44" i="1"/>
  <c r="FM10" i="1" s="1"/>
  <c r="FM32" i="1"/>
  <c r="FM27" i="1"/>
  <c r="FN7" i="1"/>
  <c r="FN16" i="1" s="1"/>
  <c r="FM45" i="1"/>
  <c r="FM15" i="1" s="1"/>
  <c r="FM13" i="1"/>
  <c r="FM12" i="1"/>
  <c r="FM38" i="1"/>
  <c r="FL11" i="1"/>
  <c r="CI14" i="1"/>
  <c r="CI16" i="1" s="1"/>
  <c r="CI17" i="1" s="1"/>
  <c r="CI40" i="1"/>
  <c r="CI28" i="1"/>
  <c r="FL46" i="1"/>
  <c r="FQ6" i="1"/>
  <c r="FM46" i="1" l="1"/>
  <c r="FN44" i="1"/>
  <c r="FN10" i="1" s="1"/>
  <c r="FN32" i="1"/>
  <c r="FN27" i="1"/>
  <c r="FO7" i="1"/>
  <c r="FO16" i="1" s="1"/>
  <c r="FN12" i="1"/>
  <c r="FN38" i="1"/>
  <c r="FN13" i="1"/>
  <c r="FN45" i="1"/>
  <c r="FN15" i="1" s="1"/>
  <c r="FR6" i="1"/>
  <c r="FM11" i="1"/>
  <c r="AU61" i="1"/>
  <c r="CJ14" i="1"/>
  <c r="CJ16" i="1" s="1"/>
  <c r="CJ17" i="1" s="1"/>
  <c r="CJ40" i="1"/>
  <c r="CJ28" i="1"/>
  <c r="AU23" i="1"/>
  <c r="CK14" i="1" l="1"/>
  <c r="CK16" i="1" s="1"/>
  <c r="CK17" i="1" s="1"/>
  <c r="CK40" i="1"/>
  <c r="CK28" i="1"/>
  <c r="FN46" i="1"/>
  <c r="FN11" i="1"/>
  <c r="FS6" i="1"/>
  <c r="AV20" i="1"/>
  <c r="AU25" i="1"/>
  <c r="FO44" i="1"/>
  <c r="FO10" i="1" s="1"/>
  <c r="FO32" i="1"/>
  <c r="FO27" i="1"/>
  <c r="FP7" i="1"/>
  <c r="FP16" i="1" s="1"/>
  <c r="FO13" i="1"/>
  <c r="FO12" i="1"/>
  <c r="FO45" i="1"/>
  <c r="FO15" i="1" s="1"/>
  <c r="FO38" i="1"/>
  <c r="AV27" i="1" l="1"/>
  <c r="AV29" i="1" s="1"/>
  <c r="FT6" i="1"/>
  <c r="CL14" i="1"/>
  <c r="CL16" i="1" s="1"/>
  <c r="CL17" i="1" s="1"/>
  <c r="CL28" i="1"/>
  <c r="CL40" i="1"/>
  <c r="FP44" i="1"/>
  <c r="FP10" i="1" s="1"/>
  <c r="FP32" i="1"/>
  <c r="FP27" i="1"/>
  <c r="FQ7" i="1"/>
  <c r="FQ16" i="1" s="1"/>
  <c r="FP38" i="1"/>
  <c r="FP45" i="1"/>
  <c r="FP15" i="1" s="1"/>
  <c r="FP13" i="1"/>
  <c r="FP12" i="1"/>
  <c r="FO11" i="1"/>
  <c r="FO46" i="1"/>
  <c r="FU6" i="1" l="1"/>
  <c r="FP11" i="1"/>
  <c r="FP46" i="1"/>
  <c r="CM14" i="1"/>
  <c r="CM16" i="1" s="1"/>
  <c r="CM17" i="1" s="1"/>
  <c r="CM40" i="1"/>
  <c r="CM28" i="1"/>
  <c r="FQ44" i="1"/>
  <c r="FQ10" i="1" s="1"/>
  <c r="FQ32" i="1"/>
  <c r="FQ27" i="1"/>
  <c r="FR7" i="1"/>
  <c r="FR16" i="1" s="1"/>
  <c r="FQ38" i="1"/>
  <c r="FQ45" i="1"/>
  <c r="FQ15" i="1" s="1"/>
  <c r="FQ13" i="1"/>
  <c r="FQ12" i="1"/>
  <c r="AV30" i="1"/>
  <c r="AV31" i="1" s="1"/>
  <c r="AV32" i="1" l="1"/>
  <c r="AV33" i="1" s="1"/>
  <c r="AV21" i="1" s="1"/>
  <c r="AV22" i="1" s="1"/>
  <c r="FQ11" i="1"/>
  <c r="FQ46" i="1"/>
  <c r="CN14" i="1"/>
  <c r="CN16" i="1" s="1"/>
  <c r="CN17" i="1" s="1"/>
  <c r="CN40" i="1"/>
  <c r="CN28" i="1"/>
  <c r="FR44" i="1"/>
  <c r="FR10" i="1" s="1"/>
  <c r="FR32" i="1"/>
  <c r="FR27" i="1"/>
  <c r="FS7" i="1"/>
  <c r="FS16" i="1" s="1"/>
  <c r="FR38" i="1"/>
  <c r="FR45" i="1"/>
  <c r="FR15" i="1" s="1"/>
  <c r="FR12" i="1"/>
  <c r="FR13" i="1"/>
  <c r="FV6" i="1"/>
  <c r="AV35" i="1" l="1"/>
  <c r="FR46" i="1"/>
  <c r="FW6" i="1"/>
  <c r="FR11" i="1"/>
  <c r="CO14" i="1"/>
  <c r="CO16" i="1" s="1"/>
  <c r="CO17" i="1" s="1"/>
  <c r="CO40" i="1"/>
  <c r="CO28" i="1"/>
  <c r="FS44" i="1"/>
  <c r="FS10" i="1" s="1"/>
  <c r="FS32" i="1"/>
  <c r="FS27" i="1"/>
  <c r="FT7" i="1"/>
  <c r="FT16" i="1" s="1"/>
  <c r="FS38" i="1"/>
  <c r="FS12" i="1"/>
  <c r="FS45" i="1"/>
  <c r="FS15" i="1" s="1"/>
  <c r="FS13" i="1"/>
  <c r="CP14" i="1" l="1"/>
  <c r="CP16" i="1" s="1"/>
  <c r="CP17" i="1" s="1"/>
  <c r="CP28" i="1"/>
  <c r="CP40" i="1"/>
  <c r="FT44" i="1"/>
  <c r="FT10" i="1" s="1"/>
  <c r="FT32" i="1"/>
  <c r="FT27" i="1"/>
  <c r="FU7" i="1"/>
  <c r="FU16" i="1" s="1"/>
  <c r="FT13" i="1"/>
  <c r="FT12" i="1"/>
  <c r="FT38" i="1"/>
  <c r="FT45" i="1"/>
  <c r="FT15" i="1" s="1"/>
  <c r="FX6" i="1"/>
  <c r="FS11" i="1"/>
  <c r="AV61" i="1"/>
  <c r="FS46" i="1"/>
  <c r="AV23" i="1"/>
  <c r="FY6" i="1" l="1"/>
  <c r="FT46" i="1"/>
  <c r="FT11" i="1"/>
  <c r="AW20" i="1"/>
  <c r="AV25" i="1"/>
  <c r="CQ14" i="1"/>
  <c r="CQ16" i="1" s="1"/>
  <c r="CQ17" i="1" s="1"/>
  <c r="CQ40" i="1"/>
  <c r="CQ28" i="1"/>
  <c r="FU44" i="1"/>
  <c r="FU10" i="1" s="1"/>
  <c r="FU32" i="1"/>
  <c r="FU27" i="1"/>
  <c r="FV7" i="1"/>
  <c r="FV16" i="1" s="1"/>
  <c r="FU12" i="1"/>
  <c r="FU38" i="1"/>
  <c r="FU45" i="1"/>
  <c r="FU15" i="1" s="1"/>
  <c r="FU13" i="1"/>
  <c r="CR14" i="1" l="1"/>
  <c r="CR16" i="1" s="1"/>
  <c r="CR17" i="1" s="1"/>
  <c r="CR40" i="1"/>
  <c r="CR28" i="1"/>
  <c r="FZ6" i="1"/>
  <c r="FV44" i="1"/>
  <c r="FV10" i="1" s="1"/>
  <c r="FV32" i="1"/>
  <c r="FV27" i="1"/>
  <c r="FW7" i="1"/>
  <c r="FW16" i="1" s="1"/>
  <c r="FV12" i="1"/>
  <c r="FV38" i="1"/>
  <c r="FV13" i="1"/>
  <c r="FV45" i="1"/>
  <c r="FV15" i="1" s="1"/>
  <c r="FU11" i="1"/>
  <c r="FU46" i="1"/>
  <c r="AW27" i="1"/>
  <c r="AW29" i="1" s="1"/>
  <c r="GA6" i="1" l="1"/>
  <c r="FW44" i="1"/>
  <c r="FW10" i="1" s="1"/>
  <c r="FW32" i="1"/>
  <c r="FW27" i="1"/>
  <c r="FX7" i="1"/>
  <c r="FX16" i="1" s="1"/>
  <c r="FW12" i="1"/>
  <c r="FW45" i="1"/>
  <c r="FW15" i="1" s="1"/>
  <c r="FW38" i="1"/>
  <c r="FW13" i="1"/>
  <c r="AW30" i="1"/>
  <c r="AW31" i="1" s="1"/>
  <c r="CS14" i="1"/>
  <c r="CS16" i="1" s="1"/>
  <c r="CS17" i="1" s="1"/>
  <c r="CS40" i="1"/>
  <c r="CS28" i="1"/>
  <c r="FV46" i="1"/>
  <c r="FV11" i="1"/>
  <c r="AW32" i="1" l="1"/>
  <c r="AW33" i="1" s="1"/>
  <c r="AW21" i="1" s="1"/>
  <c r="AW22" i="1" s="1"/>
  <c r="FX44" i="1"/>
  <c r="FX10" i="1" s="1"/>
  <c r="FX32" i="1"/>
  <c r="FX27" i="1"/>
  <c r="FY7" i="1"/>
  <c r="FY16" i="1" s="1"/>
  <c r="FX12" i="1"/>
  <c r="FX38" i="1"/>
  <c r="FX45" i="1"/>
  <c r="FX15" i="1" s="1"/>
  <c r="FX13" i="1"/>
  <c r="CT14" i="1"/>
  <c r="CT16" i="1" s="1"/>
  <c r="CT17" i="1" s="1"/>
  <c r="CT28" i="1"/>
  <c r="CT40" i="1"/>
  <c r="FW11" i="1"/>
  <c r="GB6" i="1"/>
  <c r="FW46" i="1"/>
  <c r="AW35" i="1" l="1"/>
  <c r="GC6" i="1"/>
  <c r="FY44" i="1"/>
  <c r="FY10" i="1" s="1"/>
  <c r="FY32" i="1"/>
  <c r="FY27" i="1"/>
  <c r="FZ7" i="1"/>
  <c r="FZ16" i="1" s="1"/>
  <c r="FY45" i="1"/>
  <c r="FY15" i="1" s="1"/>
  <c r="FY13" i="1"/>
  <c r="FY38" i="1"/>
  <c r="FY12" i="1"/>
  <c r="FX11" i="1"/>
  <c r="FX46" i="1"/>
  <c r="CU14" i="1"/>
  <c r="CU16" i="1" s="1"/>
  <c r="CU17" i="1" s="1"/>
  <c r="CU40" i="1"/>
  <c r="CU28" i="1"/>
  <c r="FY11" i="1" l="1"/>
  <c r="GD6" i="1"/>
  <c r="CV14" i="1"/>
  <c r="CV16" i="1" s="1"/>
  <c r="CV17" i="1" s="1"/>
  <c r="CV28" i="1"/>
  <c r="CV40" i="1"/>
  <c r="FY46" i="1"/>
  <c r="FZ44" i="1"/>
  <c r="FZ10" i="1" s="1"/>
  <c r="FZ32" i="1"/>
  <c r="FZ27" i="1"/>
  <c r="GA7" i="1"/>
  <c r="GA16" i="1" s="1"/>
  <c r="FZ45" i="1"/>
  <c r="FZ15" i="1" s="1"/>
  <c r="FZ13" i="1"/>
  <c r="FZ12" i="1"/>
  <c r="FZ38" i="1"/>
  <c r="AW61" i="1"/>
  <c r="AW23" i="1"/>
  <c r="FZ11" i="1" l="1"/>
  <c r="GE6" i="1"/>
  <c r="FZ46" i="1"/>
  <c r="AX20" i="1"/>
  <c r="AW25" i="1"/>
  <c r="GA44" i="1"/>
  <c r="GA10" i="1" s="1"/>
  <c r="GA32" i="1"/>
  <c r="GA27" i="1"/>
  <c r="GB7" i="1"/>
  <c r="GB16" i="1" s="1"/>
  <c r="GA38" i="1"/>
  <c r="GA45" i="1"/>
  <c r="GA15" i="1" s="1"/>
  <c r="GA13" i="1"/>
  <c r="GA12" i="1"/>
  <c r="CW14" i="1"/>
  <c r="CW16" i="1" s="1"/>
  <c r="CW17" i="1" s="1"/>
  <c r="CW40" i="1"/>
  <c r="CW28" i="1"/>
  <c r="GF6" i="1" l="1"/>
  <c r="GA11" i="1"/>
  <c r="GB44" i="1"/>
  <c r="GB10" i="1" s="1"/>
  <c r="GB32" i="1"/>
  <c r="GB27" i="1"/>
  <c r="GC7" i="1"/>
  <c r="GC16" i="1" s="1"/>
  <c r="GB38" i="1"/>
  <c r="GB45" i="1"/>
  <c r="GB15" i="1" s="1"/>
  <c r="GB12" i="1"/>
  <c r="GB13" i="1"/>
  <c r="CX14" i="1"/>
  <c r="CX16" i="1" s="1"/>
  <c r="CX17" i="1" s="1"/>
  <c r="CX28" i="1"/>
  <c r="CX40" i="1"/>
  <c r="GA46" i="1"/>
  <c r="AX27" i="1"/>
  <c r="AX29" i="1" s="1"/>
  <c r="GB11" i="1" l="1"/>
  <c r="GB46" i="1"/>
  <c r="GC44" i="1"/>
  <c r="GC10" i="1" s="1"/>
  <c r="GC32" i="1"/>
  <c r="GC27" i="1"/>
  <c r="GD7" i="1"/>
  <c r="GD16" i="1" s="1"/>
  <c r="GC12" i="1"/>
  <c r="GC38" i="1"/>
  <c r="GC45" i="1"/>
  <c r="GC15" i="1" s="1"/>
  <c r="GC13" i="1"/>
  <c r="GG6" i="1"/>
  <c r="CY14" i="1"/>
  <c r="CY16" i="1" s="1"/>
  <c r="CY17" i="1" s="1"/>
  <c r="CY28" i="1"/>
  <c r="CY40" i="1"/>
  <c r="AX30" i="1"/>
  <c r="AX31" i="1" s="1"/>
  <c r="GC11" i="1" l="1"/>
  <c r="GC46" i="1"/>
  <c r="AX32" i="1"/>
  <c r="AX33" i="1" s="1"/>
  <c r="AX21" i="1" s="1"/>
  <c r="AX22" i="1" s="1"/>
  <c r="GD44" i="1"/>
  <c r="GD10" i="1" s="1"/>
  <c r="GD32" i="1"/>
  <c r="GD27" i="1"/>
  <c r="GE7" i="1"/>
  <c r="GE16" i="1" s="1"/>
  <c r="GD12" i="1"/>
  <c r="GD13" i="1"/>
  <c r="GD45" i="1"/>
  <c r="GD15" i="1" s="1"/>
  <c r="GD38" i="1"/>
  <c r="GH6" i="1"/>
  <c r="CZ14" i="1"/>
  <c r="CZ16" i="1" s="1"/>
  <c r="CZ17" i="1" s="1"/>
  <c r="CZ28" i="1"/>
  <c r="CZ40" i="1"/>
  <c r="AX35" i="1" l="1"/>
  <c r="GD11" i="1"/>
  <c r="GI6" i="1"/>
  <c r="GD46" i="1"/>
  <c r="DA14" i="1"/>
  <c r="DA16" i="1" s="1"/>
  <c r="DA17" i="1" s="1"/>
  <c r="DA40" i="1"/>
  <c r="DA28" i="1"/>
  <c r="GE44" i="1"/>
  <c r="GE10" i="1" s="1"/>
  <c r="GE32" i="1"/>
  <c r="GE27" i="1"/>
  <c r="GF7" i="1"/>
  <c r="GF16" i="1" s="1"/>
  <c r="GE45" i="1"/>
  <c r="GE15" i="1" s="1"/>
  <c r="GE13" i="1"/>
  <c r="GE12" i="1"/>
  <c r="GE38" i="1"/>
  <c r="GF44" i="1" l="1"/>
  <c r="GF10" i="1" s="1"/>
  <c r="GF32" i="1"/>
  <c r="GF27" i="1"/>
  <c r="GG7" i="1"/>
  <c r="GG16" i="1" s="1"/>
  <c r="GF12" i="1"/>
  <c r="GF38" i="1"/>
  <c r="GF45" i="1"/>
  <c r="GF15" i="1" s="1"/>
  <c r="GF13" i="1"/>
  <c r="GE46" i="1"/>
  <c r="GE11" i="1"/>
  <c r="GJ6" i="1"/>
  <c r="AX23" i="1"/>
  <c r="DB14" i="1"/>
  <c r="DB16" i="1" s="1"/>
  <c r="DB17" i="1" s="1"/>
  <c r="DB28" i="1"/>
  <c r="DB40" i="1"/>
  <c r="AX61" i="1"/>
  <c r="DC14" i="1" l="1"/>
  <c r="DC16" i="1" s="1"/>
  <c r="DC17" i="1" s="1"/>
  <c r="DC40" i="1"/>
  <c r="DC28" i="1"/>
  <c r="GF46" i="1"/>
  <c r="AY20" i="1"/>
  <c r="AX25" i="1"/>
  <c r="GK6" i="1"/>
  <c r="GG44" i="1"/>
  <c r="GG10" i="1" s="1"/>
  <c r="GG32" i="1"/>
  <c r="GG27" i="1"/>
  <c r="GH7" i="1"/>
  <c r="GH16" i="1" s="1"/>
  <c r="GG13" i="1"/>
  <c r="GG12" i="1"/>
  <c r="GG38" i="1"/>
  <c r="GG45" i="1"/>
  <c r="GG15" i="1" s="1"/>
  <c r="GF11" i="1"/>
  <c r="GG11" i="1" l="1"/>
  <c r="GL6" i="1"/>
  <c r="DD14" i="1"/>
  <c r="DD16" i="1" s="1"/>
  <c r="DD17" i="1" s="1"/>
  <c r="DD28" i="1"/>
  <c r="DD40" i="1"/>
  <c r="GG46" i="1"/>
  <c r="GH44" i="1"/>
  <c r="GH10" i="1" s="1"/>
  <c r="GH32" i="1"/>
  <c r="GH27" i="1"/>
  <c r="GI7" i="1"/>
  <c r="GI16" i="1" s="1"/>
  <c r="GH12" i="1"/>
  <c r="GH38" i="1"/>
  <c r="GH45" i="1"/>
  <c r="GH15" i="1" s="1"/>
  <c r="GH13" i="1"/>
  <c r="AY27" i="1"/>
  <c r="AY29" i="1" s="1"/>
  <c r="AY30" i="1" l="1"/>
  <c r="AY31" i="1" s="1"/>
  <c r="DE14" i="1"/>
  <c r="DE16" i="1" s="1"/>
  <c r="DE17" i="1" s="1"/>
  <c r="DE28" i="1"/>
  <c r="DE40" i="1"/>
  <c r="GI44" i="1"/>
  <c r="GI10" i="1" s="1"/>
  <c r="GI32" i="1"/>
  <c r="GI27" i="1"/>
  <c r="GJ7" i="1"/>
  <c r="GJ16" i="1" s="1"/>
  <c r="GI45" i="1"/>
  <c r="GI15" i="1" s="1"/>
  <c r="GI13" i="1"/>
  <c r="GI38" i="1"/>
  <c r="GI12" i="1"/>
  <c r="GH11" i="1"/>
  <c r="GH46" i="1"/>
  <c r="GM6" i="1"/>
  <c r="AY32" i="1" l="1"/>
  <c r="AY33" i="1" s="1"/>
  <c r="AY21" i="1" s="1"/>
  <c r="AY22" i="1" s="1"/>
  <c r="GI46" i="1"/>
  <c r="DF14" i="1"/>
  <c r="DF16" i="1" s="1"/>
  <c r="DF17" i="1" s="1"/>
  <c r="DF28" i="1"/>
  <c r="DF40" i="1"/>
  <c r="GJ44" i="1"/>
  <c r="GJ10" i="1" s="1"/>
  <c r="GJ32" i="1"/>
  <c r="GJ27" i="1"/>
  <c r="GK7" i="1"/>
  <c r="GK16" i="1" s="1"/>
  <c r="GJ45" i="1"/>
  <c r="GJ15" i="1" s="1"/>
  <c r="GJ13" i="1"/>
  <c r="GJ12" i="1"/>
  <c r="GJ38" i="1"/>
  <c r="GN6" i="1"/>
  <c r="GI11" i="1"/>
  <c r="AY35" i="1" l="1"/>
  <c r="DG14" i="1"/>
  <c r="DG16" i="1" s="1"/>
  <c r="DG17" i="1" s="1"/>
  <c r="DG28" i="1"/>
  <c r="DG40" i="1"/>
  <c r="GK44" i="1"/>
  <c r="GK10" i="1" s="1"/>
  <c r="GK32" i="1"/>
  <c r="GK27" i="1"/>
  <c r="GL7" i="1"/>
  <c r="GL16" i="1" s="1"/>
  <c r="GK38" i="1"/>
  <c r="GK12" i="1"/>
  <c r="GK45" i="1"/>
  <c r="GK15" i="1" s="1"/>
  <c r="GK13" i="1"/>
  <c r="GO6" i="1"/>
  <c r="GJ11" i="1"/>
  <c r="GJ46" i="1"/>
  <c r="GK11" i="1" l="1"/>
  <c r="GK46" i="1"/>
  <c r="DH14" i="1"/>
  <c r="DH17" i="1" s="1"/>
  <c r="DH40" i="1"/>
  <c r="DH28" i="1"/>
  <c r="DH29" i="1" s="1"/>
  <c r="GP6" i="1"/>
  <c r="GL44" i="1"/>
  <c r="GL10" i="1" s="1"/>
  <c r="GL32" i="1"/>
  <c r="GL27" i="1"/>
  <c r="GM7" i="1"/>
  <c r="GM16" i="1" s="1"/>
  <c r="GL12" i="1"/>
  <c r="GL13" i="1"/>
  <c r="GL45" i="1"/>
  <c r="GL15" i="1" s="1"/>
  <c r="GL38" i="1"/>
  <c r="AY61" i="1"/>
  <c r="AY23" i="1"/>
  <c r="DI14" i="1" l="1"/>
  <c r="DI17" i="1" s="1"/>
  <c r="DI28" i="1"/>
  <c r="DI29" i="1" s="1"/>
  <c r="DI40" i="1"/>
  <c r="GL11" i="1"/>
  <c r="GL46" i="1"/>
  <c r="GQ6" i="1"/>
  <c r="GM44" i="1"/>
  <c r="GM10" i="1" s="1"/>
  <c r="GM32" i="1"/>
  <c r="GM27" i="1"/>
  <c r="GN7" i="1"/>
  <c r="GN16" i="1" s="1"/>
  <c r="GM45" i="1"/>
  <c r="GM15" i="1" s="1"/>
  <c r="GM38" i="1"/>
  <c r="GM13" i="1"/>
  <c r="GM12" i="1"/>
  <c r="AZ20" i="1"/>
  <c r="AY25" i="1"/>
  <c r="DH30" i="1"/>
  <c r="DH31" i="1" l="1"/>
  <c r="DH33" i="1" s="1"/>
  <c r="DH21" i="1" s="1"/>
  <c r="GM11" i="1"/>
  <c r="GR6" i="1"/>
  <c r="DI30" i="1"/>
  <c r="AZ27" i="1"/>
  <c r="AZ29" i="1" s="1"/>
  <c r="GM46" i="1"/>
  <c r="DJ14" i="1"/>
  <c r="DJ17" i="1" s="1"/>
  <c r="DJ40" i="1"/>
  <c r="DJ28" i="1"/>
  <c r="DJ29" i="1" s="1"/>
  <c r="GN44" i="1"/>
  <c r="GN10" i="1" s="1"/>
  <c r="GN32" i="1"/>
  <c r="GN27" i="1"/>
  <c r="GO7" i="1"/>
  <c r="GO16" i="1" s="1"/>
  <c r="GN38" i="1"/>
  <c r="GN45" i="1"/>
  <c r="GN15" i="1" s="1"/>
  <c r="GN13" i="1"/>
  <c r="GN12" i="1"/>
  <c r="DI31" i="1" l="1"/>
  <c r="DI33" i="1" s="1"/>
  <c r="DI21" i="1" s="1"/>
  <c r="GO44" i="1"/>
  <c r="GO10" i="1" s="1"/>
  <c r="GO32" i="1"/>
  <c r="GO27" i="1"/>
  <c r="GP7" i="1"/>
  <c r="GP16" i="1" s="1"/>
  <c r="GO38" i="1"/>
  <c r="GO45" i="1"/>
  <c r="GO15" i="1" s="1"/>
  <c r="GO12" i="1"/>
  <c r="GO13" i="1"/>
  <c r="GS6" i="1"/>
  <c r="DK14" i="1"/>
  <c r="DK17" i="1" s="1"/>
  <c r="DK40" i="1"/>
  <c r="DK28" i="1"/>
  <c r="DK29" i="1" s="1"/>
  <c r="AZ30" i="1"/>
  <c r="AZ31" i="1" s="1"/>
  <c r="GN11" i="1"/>
  <c r="GN46" i="1"/>
  <c r="DJ30" i="1"/>
  <c r="DJ31" i="1" s="1"/>
  <c r="DJ33" i="1" l="1"/>
  <c r="DJ21" i="1" s="1"/>
  <c r="AZ32" i="1"/>
  <c r="AZ33" i="1" s="1"/>
  <c r="AZ21" i="1" s="1"/>
  <c r="AZ22" i="1" s="1"/>
  <c r="GT6" i="1"/>
  <c r="GO46" i="1"/>
  <c r="GP44" i="1"/>
  <c r="GP10" i="1" s="1"/>
  <c r="GP32" i="1"/>
  <c r="GP27" i="1"/>
  <c r="GQ7" i="1"/>
  <c r="GQ16" i="1" s="1"/>
  <c r="GP12" i="1"/>
  <c r="GP38" i="1"/>
  <c r="GP45" i="1"/>
  <c r="GP15" i="1" s="1"/>
  <c r="GP13" i="1"/>
  <c r="DL14" i="1"/>
  <c r="DL17" i="1" s="1"/>
  <c r="DL28" i="1"/>
  <c r="DL29" i="1" s="1"/>
  <c r="DL40" i="1"/>
  <c r="DK30" i="1"/>
  <c r="GO11" i="1"/>
  <c r="DK31" i="1" l="1"/>
  <c r="DK33" i="1" s="1"/>
  <c r="DK21" i="1" s="1"/>
  <c r="AZ35" i="1"/>
  <c r="DL30" i="1"/>
  <c r="GU6" i="1"/>
  <c r="DM14" i="1"/>
  <c r="DM17" i="1" s="1"/>
  <c r="DM28" i="1"/>
  <c r="DM29" i="1" s="1"/>
  <c r="DM40" i="1"/>
  <c r="GQ44" i="1"/>
  <c r="GQ10" i="1" s="1"/>
  <c r="GQ32" i="1"/>
  <c r="GQ27" i="1"/>
  <c r="GR7" i="1"/>
  <c r="GR16" i="1" s="1"/>
  <c r="GQ45" i="1"/>
  <c r="GQ15" i="1" s="1"/>
  <c r="GQ13" i="1"/>
  <c r="GQ12" i="1"/>
  <c r="GQ38" i="1"/>
  <c r="GP46" i="1"/>
  <c r="GP11" i="1"/>
  <c r="DL31" i="1" l="1"/>
  <c r="DL33" i="1" s="1"/>
  <c r="DL21" i="1" s="1"/>
  <c r="GV6" i="1"/>
  <c r="GQ11" i="1"/>
  <c r="DM30" i="1"/>
  <c r="GQ46" i="1"/>
  <c r="DN14" i="1"/>
  <c r="DN17" i="1" s="1"/>
  <c r="DN28" i="1"/>
  <c r="DN29" i="1" s="1"/>
  <c r="DN40" i="1"/>
  <c r="AZ61" i="1"/>
  <c r="GR44" i="1"/>
  <c r="GR10" i="1" s="1"/>
  <c r="GR32" i="1"/>
  <c r="GR27" i="1"/>
  <c r="GS7" i="1"/>
  <c r="GS16" i="1" s="1"/>
  <c r="GR12" i="1"/>
  <c r="GR38" i="1"/>
  <c r="GR45" i="1"/>
  <c r="GR15" i="1" s="1"/>
  <c r="GR13" i="1"/>
  <c r="AZ23" i="1"/>
  <c r="DM31" i="1" l="1"/>
  <c r="DM33" i="1" s="1"/>
  <c r="DM21" i="1" s="1"/>
  <c r="GS44" i="1"/>
  <c r="GS10" i="1" s="1"/>
  <c r="GS32" i="1"/>
  <c r="GS27" i="1"/>
  <c r="GT7" i="1"/>
  <c r="GT16" i="1" s="1"/>
  <c r="GS38" i="1"/>
  <c r="GS45" i="1"/>
  <c r="GS15" i="1" s="1"/>
  <c r="GS13" i="1"/>
  <c r="GS12" i="1"/>
  <c r="GR46" i="1"/>
  <c r="GR11" i="1"/>
  <c r="DN30" i="1"/>
  <c r="DO14" i="1"/>
  <c r="DO17" i="1" s="1"/>
  <c r="DO40" i="1"/>
  <c r="DO28" i="1"/>
  <c r="DO29" i="1" s="1"/>
  <c r="GW6" i="1"/>
  <c r="BA20" i="1"/>
  <c r="AZ25" i="1"/>
  <c r="DN31" i="1" l="1"/>
  <c r="DN33" i="1" s="1"/>
  <c r="DN21" i="1" s="1"/>
  <c r="GS46" i="1"/>
  <c r="GT44" i="1"/>
  <c r="GT10" i="1" s="1"/>
  <c r="GT32" i="1"/>
  <c r="GT27" i="1"/>
  <c r="GU7" i="1"/>
  <c r="GU16" i="1" s="1"/>
  <c r="GT12" i="1"/>
  <c r="GT45" i="1"/>
  <c r="GT15" i="1" s="1"/>
  <c r="GT38" i="1"/>
  <c r="GT13" i="1"/>
  <c r="BA27" i="1"/>
  <c r="BA29" i="1" s="1"/>
  <c r="DP14" i="1"/>
  <c r="DP17" i="1" s="1"/>
  <c r="DP28" i="1"/>
  <c r="DP29" i="1" s="1"/>
  <c r="DP40" i="1"/>
  <c r="DO30" i="1"/>
  <c r="GS11" i="1"/>
  <c r="GX6" i="1"/>
  <c r="DO31" i="1" l="1"/>
  <c r="DO33" i="1" s="1"/>
  <c r="DO21" i="1" s="1"/>
  <c r="GU44" i="1"/>
  <c r="GU10" i="1" s="1"/>
  <c r="GU32" i="1"/>
  <c r="GU27" i="1"/>
  <c r="GV7" i="1"/>
  <c r="GV16" i="1" s="1"/>
  <c r="GU45" i="1"/>
  <c r="GU15" i="1" s="1"/>
  <c r="GU38" i="1"/>
  <c r="GU12" i="1"/>
  <c r="GU13" i="1"/>
  <c r="DP30" i="1"/>
  <c r="GT11" i="1"/>
  <c r="DQ14" i="1"/>
  <c r="DQ17" i="1" s="1"/>
  <c r="DQ28" i="1"/>
  <c r="DQ29" i="1" s="1"/>
  <c r="DQ40" i="1"/>
  <c r="GT46" i="1"/>
  <c r="GY6" i="1"/>
  <c r="BA30" i="1"/>
  <c r="BA31" i="1" s="1"/>
  <c r="DP31" i="1" l="1"/>
  <c r="DP33" i="1" s="1"/>
  <c r="DP21" i="1" s="1"/>
  <c r="BA32" i="1"/>
  <c r="BA33" i="1" s="1"/>
  <c r="BA21" i="1" s="1"/>
  <c r="BA22" i="1" s="1"/>
  <c r="GU46" i="1"/>
  <c r="GV44" i="1"/>
  <c r="GV10" i="1" s="1"/>
  <c r="GV32" i="1"/>
  <c r="GV27" i="1"/>
  <c r="GW7" i="1"/>
  <c r="GW16" i="1" s="1"/>
  <c r="GV45" i="1"/>
  <c r="GV15" i="1" s="1"/>
  <c r="GV13" i="1"/>
  <c r="GV12" i="1"/>
  <c r="GV38" i="1"/>
  <c r="DQ30" i="1"/>
  <c r="DR14" i="1"/>
  <c r="DR17" i="1" s="1"/>
  <c r="DR28" i="1"/>
  <c r="DR29" i="1" s="1"/>
  <c r="DR40" i="1"/>
  <c r="GZ6" i="1"/>
  <c r="GU11" i="1"/>
  <c r="DQ31" i="1" l="1"/>
  <c r="DQ33" i="1" s="1"/>
  <c r="DQ21" i="1" s="1"/>
  <c r="BA35" i="1"/>
  <c r="GV11" i="1"/>
  <c r="DS14" i="1"/>
  <c r="DS17" i="1" s="1"/>
  <c r="DS40" i="1"/>
  <c r="DS28" i="1"/>
  <c r="DS29" i="1" s="1"/>
  <c r="HA6" i="1"/>
  <c r="GV46" i="1"/>
  <c r="DR30" i="1"/>
  <c r="GW44" i="1"/>
  <c r="GW10" i="1" s="1"/>
  <c r="GW32" i="1"/>
  <c r="GW27" i="1"/>
  <c r="GX7" i="1"/>
  <c r="GX16" i="1" s="1"/>
  <c r="GW45" i="1"/>
  <c r="GW15" i="1" s="1"/>
  <c r="GW13" i="1"/>
  <c r="GW12" i="1"/>
  <c r="GW38" i="1"/>
  <c r="DR31" i="1" l="1"/>
  <c r="DR33" i="1" s="1"/>
  <c r="DR21" i="1" s="1"/>
  <c r="DT14" i="1"/>
  <c r="DT17" i="1" s="1"/>
  <c r="DT40" i="1"/>
  <c r="DT28" i="1"/>
  <c r="DT29" i="1" s="1"/>
  <c r="HB6" i="1"/>
  <c r="GX44" i="1"/>
  <c r="GX10" i="1" s="1"/>
  <c r="GX32" i="1"/>
  <c r="GX27" i="1"/>
  <c r="GY7" i="1"/>
  <c r="GY16" i="1" s="1"/>
  <c r="GX38" i="1"/>
  <c r="GX45" i="1"/>
  <c r="GX15" i="1" s="1"/>
  <c r="GX12" i="1"/>
  <c r="GX13" i="1"/>
  <c r="GW46" i="1"/>
  <c r="GW11" i="1"/>
  <c r="BA23" i="1"/>
  <c r="DS30" i="1"/>
  <c r="BA61" i="1"/>
  <c r="DS31" i="1" l="1"/>
  <c r="DS33" i="1" s="1"/>
  <c r="DS21" i="1" s="1"/>
  <c r="HC6" i="1"/>
  <c r="GX46" i="1"/>
  <c r="GY44" i="1"/>
  <c r="GY10" i="1" s="1"/>
  <c r="GY32" i="1"/>
  <c r="GY27" i="1"/>
  <c r="GZ7" i="1"/>
  <c r="GZ16" i="1" s="1"/>
  <c r="GY13" i="1"/>
  <c r="GY45" i="1"/>
  <c r="GY15" i="1" s="1"/>
  <c r="GY38" i="1"/>
  <c r="GY12" i="1"/>
  <c r="DT30" i="1"/>
  <c r="DU14" i="1"/>
  <c r="DU17" i="1" s="1"/>
  <c r="DU28" i="1"/>
  <c r="DU29" i="1" s="1"/>
  <c r="DU40" i="1"/>
  <c r="BB20" i="1"/>
  <c r="BA25" i="1"/>
  <c r="GX11" i="1"/>
  <c r="DT31" i="1" l="1"/>
  <c r="DT33" i="1" s="1"/>
  <c r="DT21" i="1" s="1"/>
  <c r="DU30" i="1"/>
  <c r="GY11" i="1"/>
  <c r="GY46" i="1"/>
  <c r="GZ44" i="1"/>
  <c r="GZ10" i="1" s="1"/>
  <c r="GZ32" i="1"/>
  <c r="GZ27" i="1"/>
  <c r="HA7" i="1"/>
  <c r="HA16" i="1" s="1"/>
  <c r="GZ12" i="1"/>
  <c r="GZ38" i="1"/>
  <c r="GZ45" i="1"/>
  <c r="GZ15" i="1" s="1"/>
  <c r="GZ13" i="1"/>
  <c r="HD6" i="1"/>
  <c r="DV14" i="1"/>
  <c r="DV17" i="1" s="1"/>
  <c r="DV40" i="1"/>
  <c r="DV28" i="1"/>
  <c r="DV29" i="1" s="1"/>
  <c r="BB27" i="1"/>
  <c r="BB29" i="1" s="1"/>
  <c r="DU31" i="1" l="1"/>
  <c r="DU33" i="1" s="1"/>
  <c r="DU21" i="1" s="1"/>
  <c r="GZ46" i="1"/>
  <c r="GZ11" i="1"/>
  <c r="HA44" i="1"/>
  <c r="HA10" i="1" s="1"/>
  <c r="HA32" i="1"/>
  <c r="HA27" i="1"/>
  <c r="HB7" i="1"/>
  <c r="HB16" i="1" s="1"/>
  <c r="HA13" i="1"/>
  <c r="HA45" i="1"/>
  <c r="HA15" i="1" s="1"/>
  <c r="HA38" i="1"/>
  <c r="HA12" i="1"/>
  <c r="DV30" i="1"/>
  <c r="BB30" i="1"/>
  <c r="BB31" i="1" s="1"/>
  <c r="DW14" i="1"/>
  <c r="DW17" i="1" s="1"/>
  <c r="DW28" i="1"/>
  <c r="DW29" i="1" s="1"/>
  <c r="DW40" i="1"/>
  <c r="HE6" i="1"/>
  <c r="DV31" i="1" l="1"/>
  <c r="DV33" i="1" s="1"/>
  <c r="DV21" i="1" s="1"/>
  <c r="DX14" i="1"/>
  <c r="DX17" i="1" s="1"/>
  <c r="DX28" i="1"/>
  <c r="DX29" i="1" s="1"/>
  <c r="DX40" i="1"/>
  <c r="HA11" i="1"/>
  <c r="HF6" i="1"/>
  <c r="HA46" i="1"/>
  <c r="BB32" i="1"/>
  <c r="BB33" i="1" s="1"/>
  <c r="BB21" i="1" s="1"/>
  <c r="BB22" i="1" s="1"/>
  <c r="HB44" i="1"/>
  <c r="HB10" i="1" s="1"/>
  <c r="HB32" i="1"/>
  <c r="HB27" i="1"/>
  <c r="HC7" i="1"/>
  <c r="HC16" i="1" s="1"/>
  <c r="HB12" i="1"/>
  <c r="HB45" i="1"/>
  <c r="HB15" i="1" s="1"/>
  <c r="HB13" i="1"/>
  <c r="HB38" i="1"/>
  <c r="DW30" i="1"/>
  <c r="DW31" i="1" l="1"/>
  <c r="DW33" i="1" s="1"/>
  <c r="DW21" i="1" s="1"/>
  <c r="BB35" i="1"/>
  <c r="HB11" i="1"/>
  <c r="HB46" i="1"/>
  <c r="DX30" i="1"/>
  <c r="HC44" i="1"/>
  <c r="HC10" i="1" s="1"/>
  <c r="HC32" i="1"/>
  <c r="HC27" i="1"/>
  <c r="HD7" i="1"/>
  <c r="HD16" i="1" s="1"/>
  <c r="HC38" i="1"/>
  <c r="HC13" i="1"/>
  <c r="HC45" i="1"/>
  <c r="HC15" i="1" s="1"/>
  <c r="HC12" i="1"/>
  <c r="DY14" i="1"/>
  <c r="DY17" i="1" s="1"/>
  <c r="DY28" i="1"/>
  <c r="DY29" i="1" s="1"/>
  <c r="DY40" i="1"/>
  <c r="HG6" i="1"/>
  <c r="DX31" i="1" l="1"/>
  <c r="DX33" i="1" s="1"/>
  <c r="DX21" i="1" s="1"/>
  <c r="DY30" i="1"/>
  <c r="HD44" i="1"/>
  <c r="HD10" i="1" s="1"/>
  <c r="HD32" i="1"/>
  <c r="HD27" i="1"/>
  <c r="HE7" i="1"/>
  <c r="HE16" i="1" s="1"/>
  <c r="HD13" i="1"/>
  <c r="HD45" i="1"/>
  <c r="HD15" i="1" s="1"/>
  <c r="HD38" i="1"/>
  <c r="HD12" i="1"/>
  <c r="HH6" i="1"/>
  <c r="HC11" i="1"/>
  <c r="BB61" i="1"/>
  <c r="DZ14" i="1"/>
  <c r="DZ17" i="1" s="1"/>
  <c r="DZ28" i="1"/>
  <c r="DZ29" i="1" s="1"/>
  <c r="DZ40" i="1"/>
  <c r="HC46" i="1"/>
  <c r="BB23" i="1"/>
  <c r="DY31" i="1" l="1"/>
  <c r="DY33" i="1" s="1"/>
  <c r="DY21" i="1" s="1"/>
  <c r="HE44" i="1"/>
  <c r="HE10" i="1" s="1"/>
  <c r="HE32" i="1"/>
  <c r="HE27" i="1"/>
  <c r="HF7" i="1"/>
  <c r="HF16" i="1" s="1"/>
  <c r="HE12" i="1"/>
  <c r="HE38" i="1"/>
  <c r="HE13" i="1"/>
  <c r="HE45" i="1"/>
  <c r="HE15" i="1" s="1"/>
  <c r="BC20" i="1"/>
  <c r="BB25" i="1"/>
  <c r="DZ30" i="1"/>
  <c r="EA14" i="1"/>
  <c r="EA17" i="1" s="1"/>
  <c r="EA40" i="1"/>
  <c r="EA28" i="1"/>
  <c r="EA29" i="1" s="1"/>
  <c r="HD11" i="1"/>
  <c r="HI6" i="1"/>
  <c r="HD46" i="1"/>
  <c r="DZ31" i="1" l="1"/>
  <c r="DZ33" i="1" s="1"/>
  <c r="DZ21" i="1" s="1"/>
  <c r="BC27" i="1"/>
  <c r="BC29" i="1" s="1"/>
  <c r="EA30" i="1"/>
  <c r="HF44" i="1"/>
  <c r="HF10" i="1" s="1"/>
  <c r="HF32" i="1"/>
  <c r="HF27" i="1"/>
  <c r="HG7" i="1"/>
  <c r="HG16" i="1" s="1"/>
  <c r="HF38" i="1"/>
  <c r="HF13" i="1"/>
  <c r="HF12" i="1"/>
  <c r="HF45" i="1"/>
  <c r="HF15" i="1" s="1"/>
  <c r="EB14" i="1"/>
  <c r="EB17" i="1" s="1"/>
  <c r="EB40" i="1"/>
  <c r="EB28" i="1"/>
  <c r="EB29" i="1" s="1"/>
  <c r="HJ6" i="1"/>
  <c r="HE46" i="1"/>
  <c r="HE11" i="1"/>
  <c r="EA31" i="1" l="1"/>
  <c r="EA33" i="1" s="1"/>
  <c r="EA21" i="1" s="1"/>
  <c r="EB30" i="1"/>
  <c r="HF46" i="1"/>
  <c r="HF11" i="1"/>
  <c r="HK6" i="1"/>
  <c r="HG44" i="1"/>
  <c r="HG10" i="1" s="1"/>
  <c r="HG32" i="1"/>
  <c r="HG27" i="1"/>
  <c r="HH7" i="1"/>
  <c r="HH16" i="1" s="1"/>
  <c r="HG45" i="1"/>
  <c r="HG15" i="1" s="1"/>
  <c r="HG13" i="1"/>
  <c r="HG12" i="1"/>
  <c r="HG38" i="1"/>
  <c r="BC30" i="1"/>
  <c r="BC31" i="1" s="1"/>
  <c r="EC14" i="1"/>
  <c r="EC17" i="1" s="1"/>
  <c r="EC40" i="1"/>
  <c r="EC28" i="1"/>
  <c r="EC29" i="1" s="1"/>
  <c r="EB31" i="1" l="1"/>
  <c r="EB33" i="1" s="1"/>
  <c r="EB21" i="1" s="1"/>
  <c r="BC32" i="1"/>
  <c r="BC33" i="1" s="1"/>
  <c r="BC21" i="1" s="1"/>
  <c r="BC22" i="1" s="1"/>
  <c r="HG46" i="1"/>
  <c r="HH44" i="1"/>
  <c r="HH10" i="1" s="1"/>
  <c r="HH32" i="1"/>
  <c r="HH27" i="1"/>
  <c r="HI7" i="1"/>
  <c r="HI16" i="1" s="1"/>
  <c r="HH45" i="1"/>
  <c r="HH15" i="1" s="1"/>
  <c r="HH38" i="1"/>
  <c r="HH12" i="1"/>
  <c r="HH13" i="1"/>
  <c r="EC30" i="1"/>
  <c r="ED14" i="1"/>
  <c r="ED17" i="1" s="1"/>
  <c r="ED28" i="1"/>
  <c r="ED29" i="1" s="1"/>
  <c r="ED40" i="1"/>
  <c r="HL6" i="1"/>
  <c r="HG11" i="1"/>
  <c r="EC31" i="1" l="1"/>
  <c r="EC33" i="1" s="1"/>
  <c r="EC21" i="1" s="1"/>
  <c r="BC35" i="1"/>
  <c r="EE14" i="1"/>
  <c r="EE17" i="1" s="1"/>
  <c r="EE40" i="1"/>
  <c r="EE28" i="1"/>
  <c r="EE29" i="1" s="1"/>
  <c r="HH11" i="1"/>
  <c r="ED30" i="1"/>
  <c r="HM6" i="1"/>
  <c r="HH46" i="1"/>
  <c r="HI44" i="1"/>
  <c r="HI10" i="1" s="1"/>
  <c r="HI32" i="1"/>
  <c r="HI27" i="1"/>
  <c r="HJ7" i="1"/>
  <c r="HJ16" i="1" s="1"/>
  <c r="HI13" i="1"/>
  <c r="HI12" i="1"/>
  <c r="HI45" i="1"/>
  <c r="HI15" i="1" s="1"/>
  <c r="HI38" i="1"/>
  <c r="ED31" i="1" l="1"/>
  <c r="ED33" i="1" s="1"/>
  <c r="ED21" i="1" s="1"/>
  <c r="EE30" i="1"/>
  <c r="EF14" i="1"/>
  <c r="EF17" i="1" s="1"/>
  <c r="EF28" i="1"/>
  <c r="EF29" i="1" s="1"/>
  <c r="EF40" i="1"/>
  <c r="HJ44" i="1"/>
  <c r="HJ10" i="1" s="1"/>
  <c r="HJ32" i="1"/>
  <c r="HJ27" i="1"/>
  <c r="HK7" i="1"/>
  <c r="HK16" i="1" s="1"/>
  <c r="HJ12" i="1"/>
  <c r="HJ45" i="1"/>
  <c r="HJ15" i="1" s="1"/>
  <c r="HJ38" i="1"/>
  <c r="HJ13" i="1"/>
  <c r="HN6" i="1"/>
  <c r="HI11" i="1"/>
  <c r="BC61" i="1"/>
  <c r="HI46" i="1"/>
  <c r="BC23" i="1"/>
  <c r="EE31" i="1" l="1"/>
  <c r="EE33" i="1" s="1"/>
  <c r="EE21" i="1" s="1"/>
  <c r="HJ11" i="1"/>
  <c r="HJ46" i="1"/>
  <c r="EF30" i="1"/>
  <c r="EG14" i="1"/>
  <c r="EG17" i="1" s="1"/>
  <c r="EG28" i="1"/>
  <c r="EG29" i="1" s="1"/>
  <c r="EG40" i="1"/>
  <c r="HK44" i="1"/>
  <c r="HK10" i="1" s="1"/>
  <c r="HK32" i="1"/>
  <c r="HK27" i="1"/>
  <c r="HL7" i="1"/>
  <c r="HL16" i="1" s="1"/>
  <c r="HK45" i="1"/>
  <c r="HK15" i="1" s="1"/>
  <c r="HK12" i="1"/>
  <c r="HK38" i="1"/>
  <c r="HK13" i="1"/>
  <c r="HO6" i="1"/>
  <c r="BD20" i="1"/>
  <c r="BC25" i="1"/>
  <c r="EF31" i="1" l="1"/>
  <c r="EF33" i="1" s="1"/>
  <c r="EF21" i="1" s="1"/>
  <c r="HL44" i="1"/>
  <c r="HL10" i="1" s="1"/>
  <c r="HL32" i="1"/>
  <c r="HL27" i="1"/>
  <c r="HM7" i="1"/>
  <c r="HM16" i="1" s="1"/>
  <c r="HL12" i="1"/>
  <c r="HL38" i="1"/>
  <c r="HL45" i="1"/>
  <c r="HL15" i="1" s="1"/>
  <c r="HL13" i="1"/>
  <c r="BD27" i="1"/>
  <c r="BD29" i="1" s="1"/>
  <c r="HK11" i="1"/>
  <c r="EG30" i="1"/>
  <c r="HP6" i="1"/>
  <c r="HK46" i="1"/>
  <c r="EH14" i="1"/>
  <c r="EH17" i="1" s="1"/>
  <c r="EH40" i="1"/>
  <c r="EH28" i="1"/>
  <c r="EH29" i="1" s="1"/>
  <c r="EG31" i="1" l="1"/>
  <c r="EG33" i="1" s="1"/>
  <c r="EG21" i="1" s="1"/>
  <c r="BD30" i="1"/>
  <c r="BD31" i="1" s="1"/>
  <c r="HM44" i="1"/>
  <c r="HM10" i="1" s="1"/>
  <c r="HM32" i="1"/>
  <c r="HM27" i="1"/>
  <c r="HN7" i="1"/>
  <c r="HN16" i="1" s="1"/>
  <c r="HM45" i="1"/>
  <c r="HM15" i="1" s="1"/>
  <c r="HM12" i="1"/>
  <c r="HM38" i="1"/>
  <c r="HM13" i="1"/>
  <c r="EH30" i="1"/>
  <c r="EI14" i="1"/>
  <c r="EI17" i="1" s="1"/>
  <c r="EI28" i="1"/>
  <c r="EI29" i="1" s="1"/>
  <c r="EI40" i="1"/>
  <c r="HQ6" i="1"/>
  <c r="HL46" i="1"/>
  <c r="HL11" i="1"/>
  <c r="EH31" i="1" l="1"/>
  <c r="EH33" i="1" s="1"/>
  <c r="EH21" i="1" s="1"/>
  <c r="BD32" i="1"/>
  <c r="BD33" i="1" s="1"/>
  <c r="BD21" i="1" s="1"/>
  <c r="BD22" i="1" s="1"/>
  <c r="HM46" i="1"/>
  <c r="HN44" i="1"/>
  <c r="HN10" i="1" s="1"/>
  <c r="HN32" i="1"/>
  <c r="HN27" i="1"/>
  <c r="HO7" i="1"/>
  <c r="HO16" i="1" s="1"/>
  <c r="HN13" i="1"/>
  <c r="HN45" i="1"/>
  <c r="HN15" i="1" s="1"/>
  <c r="HN38" i="1"/>
  <c r="HN12" i="1"/>
  <c r="EJ14" i="1"/>
  <c r="EJ17" i="1" s="1"/>
  <c r="EJ40" i="1"/>
  <c r="EJ28" i="1"/>
  <c r="EJ29" i="1" s="1"/>
  <c r="HM11" i="1"/>
  <c r="EI30" i="1"/>
  <c r="HR6" i="1"/>
  <c r="EI31" i="1" l="1"/>
  <c r="EI33" i="1" s="1"/>
  <c r="EI21" i="1" s="1"/>
  <c r="BD35" i="1"/>
  <c r="HN11" i="1"/>
  <c r="EJ30" i="1"/>
  <c r="HN46" i="1"/>
  <c r="HS6" i="1"/>
  <c r="EK14" i="1"/>
  <c r="EK17" i="1" s="1"/>
  <c r="EK28" i="1"/>
  <c r="EK29" i="1" s="1"/>
  <c r="EK40" i="1"/>
  <c r="HO44" i="1"/>
  <c r="HO10" i="1" s="1"/>
  <c r="HO32" i="1"/>
  <c r="HO27" i="1"/>
  <c r="HP7" i="1"/>
  <c r="HP16" i="1" s="1"/>
  <c r="HO12" i="1"/>
  <c r="HO45" i="1"/>
  <c r="HO15" i="1" s="1"/>
  <c r="HO38" i="1"/>
  <c r="HO13" i="1"/>
  <c r="EJ31" i="1" l="1"/>
  <c r="EJ33" i="1" s="1"/>
  <c r="EJ21" i="1" s="1"/>
  <c r="HP44" i="1"/>
  <c r="HP10" i="1" s="1"/>
  <c r="HP32" i="1"/>
  <c r="HP27" i="1"/>
  <c r="HQ7" i="1"/>
  <c r="HQ16" i="1" s="1"/>
  <c r="HP38" i="1"/>
  <c r="HP13" i="1"/>
  <c r="HP45" i="1"/>
  <c r="HP15" i="1" s="1"/>
  <c r="HP12" i="1"/>
  <c r="HT6" i="1"/>
  <c r="EK30" i="1"/>
  <c r="HO46" i="1"/>
  <c r="HO11" i="1"/>
  <c r="BD61" i="1"/>
  <c r="EL14" i="1"/>
  <c r="EL17" i="1" s="1"/>
  <c r="EL40" i="1"/>
  <c r="EL28" i="1"/>
  <c r="EL29" i="1" s="1"/>
  <c r="BD23" i="1"/>
  <c r="EK31" i="1" l="1"/>
  <c r="EK33" i="1" s="1"/>
  <c r="EK21" i="1" s="1"/>
  <c r="HP46" i="1"/>
  <c r="HU6" i="1"/>
  <c r="BE20" i="1"/>
  <c r="BD25" i="1"/>
  <c r="EM14" i="1"/>
  <c r="EM17" i="1" s="1"/>
  <c r="EM28" i="1"/>
  <c r="EM29" i="1" s="1"/>
  <c r="EM40" i="1"/>
  <c r="EL30" i="1"/>
  <c r="HQ44" i="1"/>
  <c r="HQ10" i="1" s="1"/>
  <c r="HQ32" i="1"/>
  <c r="HQ27" i="1"/>
  <c r="HR7" i="1"/>
  <c r="HR16" i="1" s="1"/>
  <c r="HQ45" i="1"/>
  <c r="HQ15" i="1" s="1"/>
  <c r="HQ38" i="1"/>
  <c r="HQ12" i="1"/>
  <c r="HQ13" i="1"/>
  <c r="HP11" i="1"/>
  <c r="EL31" i="1" l="1"/>
  <c r="EL33" i="1" s="1"/>
  <c r="EL21" i="1" s="1"/>
  <c r="HQ11" i="1"/>
  <c r="BE27" i="1"/>
  <c r="BE29" i="1" s="1"/>
  <c r="HV6" i="1"/>
  <c r="HQ46" i="1"/>
  <c r="HR44" i="1"/>
  <c r="HR10" i="1" s="1"/>
  <c r="HR32" i="1"/>
  <c r="HR27" i="1"/>
  <c r="HS7" i="1"/>
  <c r="HS16" i="1" s="1"/>
  <c r="HR12" i="1"/>
  <c r="HR38" i="1"/>
  <c r="HR45" i="1"/>
  <c r="HR15" i="1" s="1"/>
  <c r="HR13" i="1"/>
  <c r="EM30" i="1"/>
  <c r="EN14" i="1"/>
  <c r="EN17" i="1" s="1"/>
  <c r="EN28" i="1"/>
  <c r="EN29" i="1" s="1"/>
  <c r="EN40" i="1"/>
  <c r="EM31" i="1" l="1"/>
  <c r="EM33" i="1" s="1"/>
  <c r="EM21" i="1" s="1"/>
  <c r="HS44" i="1"/>
  <c r="HS10" i="1" s="1"/>
  <c r="HS32" i="1"/>
  <c r="HS27" i="1"/>
  <c r="HT7" i="1"/>
  <c r="HT16" i="1" s="1"/>
  <c r="HS45" i="1"/>
  <c r="HS15" i="1" s="1"/>
  <c r="HS13" i="1"/>
  <c r="HS12" i="1"/>
  <c r="HS38" i="1"/>
  <c r="EN30" i="1"/>
  <c r="EO14" i="1"/>
  <c r="EO17" i="1" s="1"/>
  <c r="EO28" i="1"/>
  <c r="EO29" i="1" s="1"/>
  <c r="EO40" i="1"/>
  <c r="HR46" i="1"/>
  <c r="HR11" i="1"/>
  <c r="BE30" i="1"/>
  <c r="BE31" i="1" s="1"/>
  <c r="HW6" i="1"/>
  <c r="EN31" i="1" l="1"/>
  <c r="EN33" i="1" s="1"/>
  <c r="EN21" i="1" s="1"/>
  <c r="BE32" i="1"/>
  <c r="BE33" i="1" s="1"/>
  <c r="BE21" i="1" s="1"/>
  <c r="BE22" i="1" s="1"/>
  <c r="HS46" i="1"/>
  <c r="HT44" i="1"/>
  <c r="HT10" i="1" s="1"/>
  <c r="HT32" i="1"/>
  <c r="HT27" i="1"/>
  <c r="HU7" i="1"/>
  <c r="HU16" i="1" s="1"/>
  <c r="HT13" i="1"/>
  <c r="HT12" i="1"/>
  <c r="HT45" i="1"/>
  <c r="HT15" i="1" s="1"/>
  <c r="HT38" i="1"/>
  <c r="HX6" i="1"/>
  <c r="EO30" i="1"/>
  <c r="EP14" i="1"/>
  <c r="EP17" i="1" s="1"/>
  <c r="EP40" i="1"/>
  <c r="EP28" i="1"/>
  <c r="EP29" i="1" s="1"/>
  <c r="HS11" i="1"/>
  <c r="EO31" i="1" l="1"/>
  <c r="EO33" i="1" s="1"/>
  <c r="EO21" i="1" s="1"/>
  <c r="BE35" i="1"/>
  <c r="HT46" i="1"/>
  <c r="HT11" i="1"/>
  <c r="HY6" i="1"/>
  <c r="EP30" i="1"/>
  <c r="HU44" i="1"/>
  <c r="HU10" i="1" s="1"/>
  <c r="HU32" i="1"/>
  <c r="HU27" i="1"/>
  <c r="HV7" i="1"/>
  <c r="HV16" i="1" s="1"/>
  <c r="HU38" i="1"/>
  <c r="HU12" i="1"/>
  <c r="HU13" i="1"/>
  <c r="HU45" i="1"/>
  <c r="HU15" i="1" s="1"/>
  <c r="EQ14" i="1"/>
  <c r="EQ17" i="1" s="1"/>
  <c r="EQ28" i="1"/>
  <c r="EQ29" i="1" s="1"/>
  <c r="EQ40" i="1"/>
  <c r="EP31" i="1" l="1"/>
  <c r="EP33" i="1" s="1"/>
  <c r="EP21" i="1" s="1"/>
  <c r="HU46" i="1"/>
  <c r="HU11" i="1"/>
  <c r="EQ30" i="1"/>
  <c r="ER14" i="1"/>
  <c r="ER17" i="1" s="1"/>
  <c r="ER40" i="1"/>
  <c r="ER28" i="1"/>
  <c r="ER29" i="1" s="1"/>
  <c r="BE61" i="1"/>
  <c r="HV44" i="1"/>
  <c r="HV10" i="1" s="1"/>
  <c r="HV32" i="1"/>
  <c r="HV27" i="1"/>
  <c r="HW7" i="1"/>
  <c r="HW16" i="1" s="1"/>
  <c r="HV13" i="1"/>
  <c r="HV12" i="1"/>
  <c r="HV38" i="1"/>
  <c r="HV45" i="1"/>
  <c r="HV15" i="1" s="1"/>
  <c r="HZ6" i="1"/>
  <c r="BE23" i="1"/>
  <c r="EQ31" i="1" l="1"/>
  <c r="EQ33" i="1" s="1"/>
  <c r="EQ21" i="1" s="1"/>
  <c r="HW44" i="1"/>
  <c r="HW10" i="1" s="1"/>
  <c r="HW32" i="1"/>
  <c r="HW27" i="1"/>
  <c r="HX7" i="1"/>
  <c r="HX16" i="1" s="1"/>
  <c r="HW45" i="1"/>
  <c r="HW15" i="1" s="1"/>
  <c r="HW12" i="1"/>
  <c r="HW38" i="1"/>
  <c r="HW13" i="1"/>
  <c r="HV46" i="1"/>
  <c r="HV11" i="1"/>
  <c r="ER30" i="1"/>
  <c r="BF20" i="1"/>
  <c r="BE25" i="1"/>
  <c r="ES14" i="1"/>
  <c r="ES17" i="1" s="1"/>
  <c r="ES40" i="1"/>
  <c r="ES28" i="1"/>
  <c r="ES29" i="1" s="1"/>
  <c r="IA6" i="1"/>
  <c r="ER31" i="1" l="1"/>
  <c r="ER33" i="1" s="1"/>
  <c r="ER21" i="1" s="1"/>
  <c r="ET14" i="1"/>
  <c r="ET17" i="1" s="1"/>
  <c r="ET40" i="1"/>
  <c r="ET28" i="1"/>
  <c r="ET29" i="1" s="1"/>
  <c r="HW46" i="1"/>
  <c r="HX44" i="1"/>
  <c r="HX10" i="1" s="1"/>
  <c r="HX32" i="1"/>
  <c r="HX27" i="1"/>
  <c r="HY7" i="1"/>
  <c r="HY16" i="1" s="1"/>
  <c r="HX13" i="1"/>
  <c r="HX45" i="1"/>
  <c r="HX15" i="1" s="1"/>
  <c r="HX38" i="1"/>
  <c r="HX12" i="1"/>
  <c r="BF27" i="1"/>
  <c r="BF29" i="1" s="1"/>
  <c r="ES30" i="1"/>
  <c r="HW11" i="1"/>
  <c r="IB6" i="1"/>
  <c r="ES31" i="1" l="1"/>
  <c r="ES33" i="1" s="1"/>
  <c r="ES21" i="1" s="1"/>
  <c r="BF30" i="1"/>
  <c r="BF31" i="1" s="1"/>
  <c r="HX11" i="1"/>
  <c r="ET30" i="1"/>
  <c r="HY44" i="1"/>
  <c r="HY10" i="1" s="1"/>
  <c r="HY32" i="1"/>
  <c r="HY27" i="1"/>
  <c r="HZ7" i="1"/>
  <c r="HZ16" i="1" s="1"/>
  <c r="HY45" i="1"/>
  <c r="HY15" i="1" s="1"/>
  <c r="HY13" i="1"/>
  <c r="HY12" i="1"/>
  <c r="HY38" i="1"/>
  <c r="HX46" i="1"/>
  <c r="EU14" i="1"/>
  <c r="EU17" i="1" s="1"/>
  <c r="EU40" i="1"/>
  <c r="EU28" i="1"/>
  <c r="EU29" i="1" s="1"/>
  <c r="ET31" i="1" l="1"/>
  <c r="ET33" i="1" s="1"/>
  <c r="ET21" i="1" s="1"/>
  <c r="BF32" i="1"/>
  <c r="BF33" i="1" s="1"/>
  <c r="BF21" i="1" s="1"/>
  <c r="BF22" i="1" s="1"/>
  <c r="HZ44" i="1"/>
  <c r="HZ10" i="1" s="1"/>
  <c r="HZ32" i="1"/>
  <c r="HZ27" i="1"/>
  <c r="IA7" i="1"/>
  <c r="IA16" i="1" s="1"/>
  <c r="HZ12" i="1"/>
  <c r="HZ38" i="1"/>
  <c r="HZ45" i="1"/>
  <c r="HZ15" i="1" s="1"/>
  <c r="HZ13" i="1"/>
  <c r="EU30" i="1"/>
  <c r="HY11" i="1"/>
  <c r="HY46" i="1"/>
  <c r="EV14" i="1"/>
  <c r="EV17" i="1" s="1"/>
  <c r="EV40" i="1"/>
  <c r="EV28" i="1"/>
  <c r="EV29" i="1" s="1"/>
  <c r="EU31" i="1" l="1"/>
  <c r="EU33" i="1" s="1"/>
  <c r="EU21" i="1" s="1"/>
  <c r="BF35" i="1"/>
  <c r="IA44" i="1"/>
  <c r="IA10" i="1" s="1"/>
  <c r="IA32" i="1"/>
  <c r="IA27" i="1"/>
  <c r="IB7" i="1"/>
  <c r="IA13" i="1"/>
  <c r="IA12" i="1"/>
  <c r="IA38" i="1"/>
  <c r="IA45" i="1"/>
  <c r="IA15" i="1" s="1"/>
  <c r="HZ11" i="1"/>
  <c r="HZ46" i="1"/>
  <c r="EW14" i="1"/>
  <c r="EW17" i="1" s="1"/>
  <c r="EW40" i="1"/>
  <c r="EW28" i="1"/>
  <c r="EW29" i="1" s="1"/>
  <c r="EV30" i="1"/>
  <c r="IB16" i="1" l="1"/>
  <c r="J18" i="1"/>
  <c r="J19" i="1"/>
  <c r="EV31" i="1"/>
  <c r="EV33" i="1" s="1"/>
  <c r="EV21" i="1" s="1"/>
  <c r="IB44" i="1"/>
  <c r="IB10" i="1" s="1"/>
  <c r="IB32" i="1"/>
  <c r="J33" i="1" s="1"/>
  <c r="IB27" i="1"/>
  <c r="IB38" i="1"/>
  <c r="IB45" i="1"/>
  <c r="IB15" i="1" s="1"/>
  <c r="IB13" i="1"/>
  <c r="J21" i="1" s="1"/>
  <c r="IB12" i="1"/>
  <c r="K33" i="1"/>
  <c r="L32" i="1"/>
  <c r="L25" i="1"/>
  <c r="K18" i="1"/>
  <c r="L19" i="1"/>
  <c r="K28" i="1"/>
  <c r="K21" i="1"/>
  <c r="L34" i="1"/>
  <c r="J22" i="1"/>
  <c r="M25" i="1"/>
  <c r="K19" i="1"/>
  <c r="K25" i="1"/>
  <c r="L33" i="1"/>
  <c r="L18" i="1"/>
  <c r="K34" i="1"/>
  <c r="K22" i="1"/>
  <c r="K32" i="1"/>
  <c r="L21" i="1"/>
  <c r="L22" i="1"/>
  <c r="N32" i="1"/>
  <c r="L28" i="1"/>
  <c r="O21" i="1"/>
  <c r="M32" i="1"/>
  <c r="N25" i="1"/>
  <c r="J32" i="1"/>
  <c r="N22" i="1"/>
  <c r="O25" i="1"/>
  <c r="N19" i="1"/>
  <c r="M21" i="1"/>
  <c r="M18" i="1"/>
  <c r="M19" i="1"/>
  <c r="N18" i="1"/>
  <c r="N21" i="1"/>
  <c r="O32" i="1"/>
  <c r="M22" i="1"/>
  <c r="O22" i="1"/>
  <c r="O18" i="1"/>
  <c r="O19" i="1"/>
  <c r="P22" i="1"/>
  <c r="P25" i="1"/>
  <c r="P32" i="1"/>
  <c r="P21" i="1"/>
  <c r="P19" i="1"/>
  <c r="P18" i="1"/>
  <c r="EX14" i="1"/>
  <c r="EX17" i="1" s="1"/>
  <c r="EX40" i="1"/>
  <c r="EX28" i="1"/>
  <c r="EX29" i="1" s="1"/>
  <c r="IA46" i="1"/>
  <c r="EW30" i="1"/>
  <c r="IA11" i="1"/>
  <c r="BF23" i="1"/>
  <c r="BF61" i="1"/>
  <c r="Q32" i="1" l="1"/>
  <c r="EW31" i="1"/>
  <c r="EW33" i="1" s="1"/>
  <c r="EW21" i="1" s="1"/>
  <c r="EY14" i="1"/>
  <c r="EY17" i="1" s="1"/>
  <c r="EY40" i="1"/>
  <c r="EY28" i="1"/>
  <c r="EY29" i="1" s="1"/>
  <c r="IB46" i="1"/>
  <c r="EX30" i="1"/>
  <c r="K26" i="1"/>
  <c r="V73" i="1" s="1"/>
  <c r="L26" i="1"/>
  <c r="W73" i="1" s="1"/>
  <c r="K27" i="1"/>
  <c r="K36" i="1" s="1"/>
  <c r="W72" i="1"/>
  <c r="M24" i="1"/>
  <c r="J27" i="1"/>
  <c r="BG20" i="1"/>
  <c r="BF25" i="1"/>
  <c r="L27" i="1"/>
  <c r="L36" i="1" s="1"/>
  <c r="V72" i="1"/>
  <c r="L24" i="1"/>
  <c r="IB11" i="1"/>
  <c r="EX31" i="1" l="1"/>
  <c r="EX33" i="1" s="1"/>
  <c r="EX21" i="1" s="1"/>
  <c r="L29" i="1"/>
  <c r="L37" i="1"/>
  <c r="EY30" i="1"/>
  <c r="J36" i="1"/>
  <c r="BG27" i="1"/>
  <c r="BG29" i="1" s="1"/>
  <c r="EZ14" i="1"/>
  <c r="EZ17" i="1" s="1"/>
  <c r="EZ28" i="1"/>
  <c r="EZ29" i="1" s="1"/>
  <c r="EZ40" i="1"/>
  <c r="Q25" i="1" l="1"/>
  <c r="G50" i="1" a="1"/>
  <c r="G50" i="1" s="1"/>
  <c r="L39" i="1"/>
  <c r="W82" i="1" s="1"/>
  <c r="U82" i="1"/>
  <c r="L38" i="1"/>
  <c r="V82" i="1" s="1"/>
  <c r="EY31" i="1"/>
  <c r="EY33" i="1" s="1"/>
  <c r="EY21" i="1" s="1"/>
  <c r="BG30" i="1"/>
  <c r="BG31" i="1" s="1"/>
  <c r="EZ30" i="1"/>
  <c r="U71" i="1"/>
  <c r="V71" i="1" s="1"/>
  <c r="W71" i="1" s="1"/>
  <c r="X71" i="1" s="1"/>
  <c r="Y71" i="1" s="1"/>
  <c r="Z71" i="1" s="1"/>
  <c r="AA71" i="1" s="1"/>
  <c r="FA14" i="1"/>
  <c r="FA17" i="1" s="1"/>
  <c r="FA40" i="1"/>
  <c r="FA28" i="1"/>
  <c r="FA29" i="1" s="1"/>
  <c r="EZ31" i="1" l="1"/>
  <c r="EZ33" i="1" s="1"/>
  <c r="EZ21" i="1" s="1"/>
  <c r="BG32" i="1"/>
  <c r="FB14" i="1"/>
  <c r="FB17" i="1" s="1"/>
  <c r="FB28" i="1"/>
  <c r="FB29" i="1" s="1"/>
  <c r="FB40" i="1"/>
  <c r="FA30" i="1"/>
  <c r="FA31" i="1" l="1"/>
  <c r="FA33" i="1" s="1"/>
  <c r="FA21" i="1" s="1"/>
  <c r="FC14" i="1"/>
  <c r="FC17" i="1" s="1"/>
  <c r="FC40" i="1"/>
  <c r="FC28" i="1"/>
  <c r="FC29" i="1" s="1"/>
  <c r="FB30" i="1"/>
  <c r="BG33" i="1"/>
  <c r="BG21" i="1" s="1"/>
  <c r="BG22" i="1" s="1"/>
  <c r="FB31" i="1" l="1"/>
  <c r="FB33" i="1" s="1"/>
  <c r="FB21" i="1" s="1"/>
  <c r="FD14" i="1"/>
  <c r="FD17" i="1" s="1"/>
  <c r="FD40" i="1"/>
  <c r="FD28" i="1"/>
  <c r="FD29" i="1" s="1"/>
  <c r="FC30" i="1"/>
  <c r="FC31" i="1" l="1"/>
  <c r="FC33" i="1" s="1"/>
  <c r="FC21" i="1" s="1"/>
  <c r="BG35" i="1"/>
  <c r="BG23" i="1"/>
  <c r="FD30" i="1"/>
  <c r="FE14" i="1"/>
  <c r="FE17" i="1" s="1"/>
  <c r="FE28" i="1"/>
  <c r="FE29" i="1" s="1"/>
  <c r="FE40" i="1"/>
  <c r="FD31" i="1" l="1"/>
  <c r="FD33" i="1" s="1"/>
  <c r="FD21" i="1" s="1"/>
  <c r="FE30" i="1"/>
  <c r="FF14" i="1"/>
  <c r="FF17" i="1" s="1"/>
  <c r="FF28" i="1"/>
  <c r="FF29" i="1" s="1"/>
  <c r="FF40" i="1"/>
  <c r="BH20" i="1"/>
  <c r="BG25" i="1"/>
  <c r="BG61" i="1"/>
  <c r="FE31" i="1" l="1"/>
  <c r="FE33" i="1" s="1"/>
  <c r="FE21" i="1" s="1"/>
  <c r="BH27" i="1"/>
  <c r="BH29" i="1" s="1"/>
  <c r="FF30" i="1"/>
  <c r="FG14" i="1"/>
  <c r="FG17" i="1" s="1"/>
  <c r="FG40" i="1"/>
  <c r="FG28" i="1"/>
  <c r="FG29" i="1" s="1"/>
  <c r="FF31" i="1" l="1"/>
  <c r="FF33" i="1" s="1"/>
  <c r="FF21" i="1" s="1"/>
  <c r="FH14" i="1"/>
  <c r="FH17" i="1" s="1"/>
  <c r="FH28" i="1"/>
  <c r="FH29" i="1" s="1"/>
  <c r="FH40" i="1"/>
  <c r="FG30" i="1"/>
  <c r="BH30" i="1"/>
  <c r="BH31" i="1" s="1"/>
  <c r="FG31" i="1" l="1"/>
  <c r="FG33" i="1" s="1"/>
  <c r="FG21" i="1" s="1"/>
  <c r="BH32" i="1"/>
  <c r="FI14" i="1"/>
  <c r="FI17" i="1" s="1"/>
  <c r="FI28" i="1"/>
  <c r="FI29" i="1" s="1"/>
  <c r="FI40" i="1"/>
  <c r="FH30" i="1"/>
  <c r="FH31" i="1" l="1"/>
  <c r="FH33" i="1" s="1"/>
  <c r="FH21" i="1" s="1"/>
  <c r="FI30" i="1"/>
  <c r="FJ14" i="1"/>
  <c r="FJ17" i="1" s="1"/>
  <c r="FJ28" i="1"/>
  <c r="FJ29" i="1" s="1"/>
  <c r="FJ40" i="1"/>
  <c r="BH33" i="1"/>
  <c r="BH21" i="1" s="1"/>
  <c r="BH22" i="1" s="1"/>
  <c r="FI31" i="1" l="1"/>
  <c r="FI33" i="1" s="1"/>
  <c r="FI21" i="1" s="1"/>
  <c r="FJ30" i="1"/>
  <c r="BH23" i="1"/>
  <c r="FK14" i="1"/>
  <c r="FK17" i="1" s="1"/>
  <c r="FK28" i="1"/>
  <c r="FK29" i="1" s="1"/>
  <c r="FK40" i="1"/>
  <c r="FJ31" i="1" l="1"/>
  <c r="FJ33" i="1" s="1"/>
  <c r="FJ21" i="1" s="1"/>
  <c r="BI20" i="1"/>
  <c r="BH25" i="1"/>
  <c r="FK30" i="1"/>
  <c r="FL14" i="1"/>
  <c r="FL17" i="1" s="1"/>
  <c r="FL28" i="1"/>
  <c r="FL29" i="1" s="1"/>
  <c r="FL40" i="1"/>
  <c r="BH35" i="1"/>
  <c r="FK31" i="1" l="1"/>
  <c r="FK33" i="1" s="1"/>
  <c r="FK21" i="1" s="1"/>
  <c r="FM14" i="1"/>
  <c r="FM17" i="1" s="1"/>
  <c r="FM40" i="1"/>
  <c r="FM28" i="1"/>
  <c r="FM29" i="1" s="1"/>
  <c r="FL30" i="1"/>
  <c r="BI27" i="1"/>
  <c r="BI29" i="1" s="1"/>
  <c r="BH61" i="1"/>
  <c r="FL31" i="1" l="1"/>
  <c r="FL33" i="1" s="1"/>
  <c r="FL21" i="1" s="1"/>
  <c r="BI30" i="1"/>
  <c r="BI31" i="1" s="1"/>
  <c r="FM30" i="1"/>
  <c r="FN14" i="1"/>
  <c r="FN17" i="1" s="1"/>
  <c r="FN40" i="1"/>
  <c r="FN28" i="1"/>
  <c r="FN29" i="1" s="1"/>
  <c r="FM31" i="1" l="1"/>
  <c r="FM33" i="1" s="1"/>
  <c r="FM21" i="1" s="1"/>
  <c r="BI32" i="1"/>
  <c r="BI33" i="1" s="1"/>
  <c r="BI21" i="1" s="1"/>
  <c r="BI22" i="1" s="1"/>
  <c r="FO14" i="1"/>
  <c r="FO17" i="1" s="1"/>
  <c r="FO40" i="1"/>
  <c r="FO28" i="1"/>
  <c r="FO29" i="1" s="1"/>
  <c r="FN30" i="1"/>
  <c r="FN31" i="1" l="1"/>
  <c r="FN33" i="1" s="1"/>
  <c r="FN21" i="1" s="1"/>
  <c r="FO30" i="1"/>
  <c r="FP14" i="1"/>
  <c r="FP17" i="1" s="1"/>
  <c r="FP28" i="1"/>
  <c r="FP29" i="1" s="1"/>
  <c r="FP40" i="1"/>
  <c r="FO31" i="1" l="1"/>
  <c r="FO33" i="1" s="1"/>
  <c r="FO21" i="1" s="1"/>
  <c r="FQ14" i="1"/>
  <c r="FQ17" i="1" s="1"/>
  <c r="FQ28" i="1"/>
  <c r="FQ29" i="1" s="1"/>
  <c r="FQ40" i="1"/>
  <c r="BI35" i="1"/>
  <c r="FP30" i="1"/>
  <c r="BI23" i="1"/>
  <c r="FP31" i="1" l="1"/>
  <c r="FP33" i="1" s="1"/>
  <c r="FP21" i="1" s="1"/>
  <c r="BI61" i="1"/>
  <c r="FR14" i="1"/>
  <c r="FR17" i="1" s="1"/>
  <c r="FR28" i="1"/>
  <c r="FR29" i="1" s="1"/>
  <c r="FR40" i="1"/>
  <c r="FQ30" i="1"/>
  <c r="BJ20" i="1"/>
  <c r="BI25" i="1"/>
  <c r="FQ31" i="1" l="1"/>
  <c r="FQ33" i="1" s="1"/>
  <c r="FQ21" i="1" s="1"/>
  <c r="FS14" i="1"/>
  <c r="FS17" i="1" s="1"/>
  <c r="FS28" i="1"/>
  <c r="FS29" i="1" s="1"/>
  <c r="FS40" i="1"/>
  <c r="BJ27" i="1"/>
  <c r="BJ29" i="1" s="1"/>
  <c r="FR30" i="1"/>
  <c r="FR31" i="1" l="1"/>
  <c r="FR33" i="1" s="1"/>
  <c r="FR21" i="1" s="1"/>
  <c r="BJ30" i="1"/>
  <c r="BJ31" i="1" s="1"/>
  <c r="FT14" i="1"/>
  <c r="FT17" i="1" s="1"/>
  <c r="FT40" i="1"/>
  <c r="FT28" i="1"/>
  <c r="FT29" i="1" s="1"/>
  <c r="FS30" i="1"/>
  <c r="FS31" i="1" l="1"/>
  <c r="FS33" i="1" s="1"/>
  <c r="FS21" i="1" s="1"/>
  <c r="BJ32" i="1"/>
  <c r="BJ33" i="1" s="1"/>
  <c r="BJ21" i="1" s="1"/>
  <c r="BJ22" i="1" s="1"/>
  <c r="FT30" i="1"/>
  <c r="FU14" i="1"/>
  <c r="FU17" i="1" s="1"/>
  <c r="FU28" i="1"/>
  <c r="FU29" i="1" s="1"/>
  <c r="FU40" i="1"/>
  <c r="FT31" i="1" l="1"/>
  <c r="FT33" i="1" s="1"/>
  <c r="FT21" i="1" s="1"/>
  <c r="FU30" i="1"/>
  <c r="FV14" i="1"/>
  <c r="FV17" i="1" s="1"/>
  <c r="FV40" i="1"/>
  <c r="FV28" i="1"/>
  <c r="FV29" i="1" s="1"/>
  <c r="FU31" i="1" l="1"/>
  <c r="FU33" i="1" s="1"/>
  <c r="FU21" i="1" s="1"/>
  <c r="FW14" i="1"/>
  <c r="FW17" i="1" s="1"/>
  <c r="FW28" i="1"/>
  <c r="FW29" i="1" s="1"/>
  <c r="FW40" i="1"/>
  <c r="FV30" i="1"/>
  <c r="BJ35" i="1"/>
  <c r="BJ23" i="1"/>
  <c r="FV31" i="1" l="1"/>
  <c r="FV33" i="1" s="1"/>
  <c r="FV21" i="1" s="1"/>
  <c r="FW30" i="1"/>
  <c r="BJ61" i="1"/>
  <c r="FX14" i="1"/>
  <c r="FX17" i="1" s="1"/>
  <c r="FX28" i="1"/>
  <c r="FX29" i="1" s="1"/>
  <c r="FX40" i="1"/>
  <c r="BK20" i="1"/>
  <c r="BJ25" i="1"/>
  <c r="FW31" i="1" l="1"/>
  <c r="FW33" i="1" s="1"/>
  <c r="FW21" i="1" s="1"/>
  <c r="BK27" i="1"/>
  <c r="BK29" i="1" s="1"/>
  <c r="FX30" i="1"/>
  <c r="FY14" i="1"/>
  <c r="FY17" i="1" s="1"/>
  <c r="FY28" i="1"/>
  <c r="FY29" i="1" s="1"/>
  <c r="FY40" i="1"/>
  <c r="FX31" i="1" l="1"/>
  <c r="FX33" i="1" s="1"/>
  <c r="FX21" i="1" s="1"/>
  <c r="FZ14" i="1"/>
  <c r="FZ17" i="1" s="1"/>
  <c r="FZ40" i="1"/>
  <c r="FZ28" i="1"/>
  <c r="FZ29" i="1" s="1"/>
  <c r="BK30" i="1"/>
  <c r="BK31" i="1" s="1"/>
  <c r="FY30" i="1"/>
  <c r="FY31" i="1" l="1"/>
  <c r="FY33" i="1" s="1"/>
  <c r="FY21" i="1" s="1"/>
  <c r="BK32" i="1"/>
  <c r="BK33" i="1" s="1"/>
  <c r="BK21" i="1" s="1"/>
  <c r="BK22" i="1" s="1"/>
  <c r="GA14" i="1"/>
  <c r="GA17" i="1" s="1"/>
  <c r="GA28" i="1"/>
  <c r="GA29" i="1" s="1"/>
  <c r="GA40" i="1"/>
  <c r="FZ30" i="1"/>
  <c r="FZ31" i="1" l="1"/>
  <c r="FZ33" i="1" s="1"/>
  <c r="FZ21" i="1" s="1"/>
  <c r="BK35" i="1"/>
  <c r="GA30" i="1"/>
  <c r="GB14" i="1"/>
  <c r="GB17" i="1" s="1"/>
  <c r="GB40" i="1"/>
  <c r="GB28" i="1"/>
  <c r="GB29" i="1" s="1"/>
  <c r="GA31" i="1" l="1"/>
  <c r="GA33" i="1" s="1"/>
  <c r="GA21" i="1" s="1"/>
  <c r="GC14" i="1"/>
  <c r="GC17" i="1" s="1"/>
  <c r="GC28" i="1"/>
  <c r="GC29" i="1" s="1"/>
  <c r="GC40" i="1"/>
  <c r="GB30" i="1"/>
  <c r="BK23" i="1"/>
  <c r="BK61" i="1"/>
  <c r="GB31" i="1" l="1"/>
  <c r="GB33" i="1" s="1"/>
  <c r="GB21" i="1" s="1"/>
  <c r="BL20" i="1"/>
  <c r="BK25" i="1"/>
  <c r="GC30" i="1"/>
  <c r="GD14" i="1"/>
  <c r="GD17" i="1" s="1"/>
  <c r="GD40" i="1"/>
  <c r="GD28" i="1"/>
  <c r="GD29" i="1" s="1"/>
  <c r="GC31" i="1" l="1"/>
  <c r="GC33" i="1" s="1"/>
  <c r="GC21" i="1" s="1"/>
  <c r="GD30" i="1"/>
  <c r="GE14" i="1"/>
  <c r="GE17" i="1" s="1"/>
  <c r="GE40" i="1"/>
  <c r="GE28" i="1"/>
  <c r="GE29" i="1" s="1"/>
  <c r="BL27" i="1"/>
  <c r="BL29" i="1" s="1"/>
  <c r="GD31" i="1" l="1"/>
  <c r="GD33" i="1" s="1"/>
  <c r="GD21" i="1" s="1"/>
  <c r="GE30" i="1"/>
  <c r="GF14" i="1"/>
  <c r="GF17" i="1" s="1"/>
  <c r="GF40" i="1"/>
  <c r="GF28" i="1"/>
  <c r="GF29" i="1" s="1"/>
  <c r="BL30" i="1"/>
  <c r="BL31" i="1" s="1"/>
  <c r="GE31" i="1" l="1"/>
  <c r="GE33" i="1" s="1"/>
  <c r="GE21" i="1" s="1"/>
  <c r="BL32" i="1"/>
  <c r="BL33" i="1" s="1"/>
  <c r="BL21" i="1" s="1"/>
  <c r="BL22" i="1" s="1"/>
  <c r="GF30" i="1"/>
  <c r="GG14" i="1"/>
  <c r="GG17" i="1" s="1"/>
  <c r="GG40" i="1"/>
  <c r="GG28" i="1"/>
  <c r="GG29" i="1" s="1"/>
  <c r="GF31" i="1" l="1"/>
  <c r="GF33" i="1" s="1"/>
  <c r="GF21" i="1" s="1"/>
  <c r="BL35" i="1"/>
  <c r="GG30" i="1"/>
  <c r="GH14" i="1"/>
  <c r="GH17" i="1" s="1"/>
  <c r="GH40" i="1"/>
  <c r="GH28" i="1"/>
  <c r="GH29" i="1" s="1"/>
  <c r="GG31" i="1" l="1"/>
  <c r="GG33" i="1" s="1"/>
  <c r="GG21" i="1" s="1"/>
  <c r="GH30" i="1"/>
  <c r="BL61" i="1"/>
  <c r="GI14" i="1"/>
  <c r="GI17" i="1" s="1"/>
  <c r="GI28" i="1"/>
  <c r="GI29" i="1" s="1"/>
  <c r="GI40" i="1"/>
  <c r="BL23" i="1"/>
  <c r="GH31" i="1" l="1"/>
  <c r="GH33" i="1" s="1"/>
  <c r="GH21" i="1" s="1"/>
  <c r="BM20" i="1"/>
  <c r="BL25" i="1"/>
  <c r="GI30" i="1"/>
  <c r="GJ14" i="1"/>
  <c r="GJ17" i="1" s="1"/>
  <c r="GJ40" i="1"/>
  <c r="GJ28" i="1"/>
  <c r="GJ29" i="1" s="1"/>
  <c r="GI31" i="1" l="1"/>
  <c r="GI33" i="1" s="1"/>
  <c r="GI21" i="1" s="1"/>
  <c r="GK14" i="1"/>
  <c r="GK17" i="1" s="1"/>
  <c r="GK28" i="1"/>
  <c r="GK29" i="1" s="1"/>
  <c r="GK40" i="1"/>
  <c r="GJ30" i="1"/>
  <c r="BM27" i="1"/>
  <c r="BM29" i="1" s="1"/>
  <c r="GJ31" i="1" l="1"/>
  <c r="GJ33" i="1" s="1"/>
  <c r="GJ21" i="1" s="1"/>
  <c r="BM30" i="1"/>
  <c r="BM31" i="1" s="1"/>
  <c r="GL14" i="1"/>
  <c r="GL17" i="1" s="1"/>
  <c r="GL40" i="1"/>
  <c r="GL28" i="1"/>
  <c r="GL29" i="1" s="1"/>
  <c r="GK30" i="1"/>
  <c r="GK31" i="1" l="1"/>
  <c r="GK33" i="1" s="1"/>
  <c r="GK21" i="1" s="1"/>
  <c r="BM32" i="1"/>
  <c r="BM33" i="1" s="1"/>
  <c r="BM21" i="1" s="1"/>
  <c r="BM22" i="1" s="1"/>
  <c r="GL30" i="1"/>
  <c r="GM14" i="1"/>
  <c r="GM17" i="1" s="1"/>
  <c r="GM40" i="1"/>
  <c r="GM28" i="1"/>
  <c r="GM29" i="1" s="1"/>
  <c r="GL31" i="1" l="1"/>
  <c r="GL33" i="1" s="1"/>
  <c r="GL21" i="1" s="1"/>
  <c r="BM35" i="1"/>
  <c r="GM30" i="1"/>
  <c r="GN14" i="1"/>
  <c r="GN17" i="1" s="1"/>
  <c r="GN28" i="1"/>
  <c r="GN29" i="1" s="1"/>
  <c r="GN40" i="1"/>
  <c r="GM31" i="1" l="1"/>
  <c r="GM33" i="1" s="1"/>
  <c r="GM21" i="1" s="1"/>
  <c r="GO14" i="1"/>
  <c r="GO17" i="1" s="1"/>
  <c r="GO40" i="1"/>
  <c r="GO28" i="1"/>
  <c r="GO29" i="1" s="1"/>
  <c r="GN30" i="1"/>
  <c r="BM61" i="1"/>
  <c r="BM23" i="1"/>
  <c r="GN31" i="1" l="1"/>
  <c r="GN33" i="1" s="1"/>
  <c r="GN21" i="1" s="1"/>
  <c r="BN20" i="1"/>
  <c r="BM25" i="1"/>
  <c r="GO30" i="1"/>
  <c r="GP14" i="1"/>
  <c r="GP17" i="1" s="1"/>
  <c r="GP40" i="1"/>
  <c r="GP28" i="1"/>
  <c r="GP29" i="1" s="1"/>
  <c r="GO31" i="1" l="1"/>
  <c r="GO33" i="1" s="1"/>
  <c r="GO21" i="1" s="1"/>
  <c r="GP30" i="1"/>
  <c r="GQ14" i="1"/>
  <c r="GQ17" i="1" s="1"/>
  <c r="GQ40" i="1"/>
  <c r="GQ28" i="1"/>
  <c r="GQ29" i="1" s="1"/>
  <c r="BN27" i="1"/>
  <c r="BN29" i="1" s="1"/>
  <c r="GP31" i="1" l="1"/>
  <c r="GP33" i="1" s="1"/>
  <c r="GP21" i="1" s="1"/>
  <c r="GR14" i="1"/>
  <c r="GR17" i="1" s="1"/>
  <c r="GR28" i="1"/>
  <c r="GR29" i="1" s="1"/>
  <c r="GR40" i="1"/>
  <c r="BN30" i="1"/>
  <c r="BN31" i="1" s="1"/>
  <c r="GQ30" i="1"/>
  <c r="GQ31" i="1" l="1"/>
  <c r="GQ33" i="1" s="1"/>
  <c r="GQ21" i="1" s="1"/>
  <c r="BN32" i="1"/>
  <c r="BN33" i="1" s="1"/>
  <c r="BN21" i="1" s="1"/>
  <c r="BN22" i="1" s="1"/>
  <c r="GS14" i="1"/>
  <c r="GS17" i="1" s="1"/>
  <c r="GS40" i="1"/>
  <c r="GS28" i="1"/>
  <c r="GS29" i="1" s="1"/>
  <c r="GR30" i="1"/>
  <c r="GR31" i="1" l="1"/>
  <c r="GR33" i="1" s="1"/>
  <c r="GR21" i="1" s="1"/>
  <c r="BN35" i="1"/>
  <c r="GT14" i="1"/>
  <c r="GT17" i="1" s="1"/>
  <c r="GT28" i="1"/>
  <c r="GT29" i="1" s="1"/>
  <c r="GT40" i="1"/>
  <c r="GS30" i="1"/>
  <c r="GS31" i="1" l="1"/>
  <c r="GS33" i="1" s="1"/>
  <c r="GS21" i="1" s="1"/>
  <c r="GT30" i="1"/>
  <c r="BN61" i="1"/>
  <c r="GU14" i="1"/>
  <c r="GU17" i="1" s="1"/>
  <c r="GU40" i="1"/>
  <c r="GU28" i="1"/>
  <c r="GU29" i="1" s="1"/>
  <c r="BN23" i="1"/>
  <c r="GT31" i="1" l="1"/>
  <c r="GT33" i="1" s="1"/>
  <c r="GT21" i="1" s="1"/>
  <c r="GU30" i="1"/>
  <c r="BO20" i="1"/>
  <c r="BN25" i="1"/>
  <c r="GV14" i="1"/>
  <c r="GV17" i="1" s="1"/>
  <c r="GV40" i="1"/>
  <c r="GV28" i="1"/>
  <c r="GV29" i="1" s="1"/>
  <c r="GU31" i="1" l="1"/>
  <c r="GU33" i="1" s="1"/>
  <c r="GU21" i="1" s="1"/>
  <c r="GW14" i="1"/>
  <c r="GW17" i="1" s="1"/>
  <c r="GW28" i="1"/>
  <c r="GW29" i="1" s="1"/>
  <c r="GW40" i="1"/>
  <c r="GV30" i="1"/>
  <c r="BO27" i="1"/>
  <c r="BO29" i="1" s="1"/>
  <c r="GV31" i="1" l="1"/>
  <c r="GV33" i="1" s="1"/>
  <c r="GV21" i="1" s="1"/>
  <c r="GW30" i="1"/>
  <c r="BO30" i="1"/>
  <c r="BO31" i="1" s="1"/>
  <c r="GX14" i="1"/>
  <c r="GX17" i="1" s="1"/>
  <c r="GX40" i="1"/>
  <c r="GX28" i="1"/>
  <c r="GX29" i="1" s="1"/>
  <c r="GW31" i="1" l="1"/>
  <c r="GW33" i="1" s="1"/>
  <c r="GW21" i="1" s="1"/>
  <c r="BO32" i="1"/>
  <c r="GY14" i="1"/>
  <c r="GY17" i="1" s="1"/>
  <c r="GY40" i="1"/>
  <c r="GY28" i="1"/>
  <c r="GY29" i="1" s="1"/>
  <c r="GX30" i="1"/>
  <c r="GX31" i="1" l="1"/>
  <c r="GX33" i="1" s="1"/>
  <c r="GX21" i="1" s="1"/>
  <c r="GZ14" i="1"/>
  <c r="GZ17" i="1" s="1"/>
  <c r="GZ40" i="1"/>
  <c r="GZ28" i="1"/>
  <c r="GZ29" i="1" s="1"/>
  <c r="GY30" i="1"/>
  <c r="BO33" i="1"/>
  <c r="BO21" i="1" s="1"/>
  <c r="BO22" i="1" s="1"/>
  <c r="GY31" i="1" l="1"/>
  <c r="GY33" i="1" s="1"/>
  <c r="GY21" i="1" s="1"/>
  <c r="GZ30" i="1"/>
  <c r="HA14" i="1"/>
  <c r="HA17" i="1" s="1"/>
  <c r="HA40" i="1"/>
  <c r="HA28" i="1"/>
  <c r="HA29" i="1" s="1"/>
  <c r="GZ31" i="1" l="1"/>
  <c r="GZ33" i="1" s="1"/>
  <c r="GZ21" i="1" s="1"/>
  <c r="BO35" i="1"/>
  <c r="HA30" i="1"/>
  <c r="HB14" i="1"/>
  <c r="HB17" i="1" s="1"/>
  <c r="HB28" i="1"/>
  <c r="HB29" i="1" s="1"/>
  <c r="HB40" i="1"/>
  <c r="BO23" i="1"/>
  <c r="HA31" i="1" l="1"/>
  <c r="HA33" i="1" s="1"/>
  <c r="HA21" i="1" s="1"/>
  <c r="HB30" i="1"/>
  <c r="HC14" i="1"/>
  <c r="HC17" i="1" s="1"/>
  <c r="HC40" i="1"/>
  <c r="HC28" i="1"/>
  <c r="HC29" i="1" s="1"/>
  <c r="BP20" i="1"/>
  <c r="BO25" i="1"/>
  <c r="BO61" i="1"/>
  <c r="HB31" i="1" l="1"/>
  <c r="HB33" i="1" s="1"/>
  <c r="HB21" i="1" s="1"/>
  <c r="BP27" i="1"/>
  <c r="BP29" i="1" s="1"/>
  <c r="HC30" i="1"/>
  <c r="HD14" i="1"/>
  <c r="HD17" i="1" s="1"/>
  <c r="HD28" i="1"/>
  <c r="HD29" i="1" s="1"/>
  <c r="HD40" i="1"/>
  <c r="HC31" i="1" l="1"/>
  <c r="HC33" i="1" s="1"/>
  <c r="HC21" i="1" s="1"/>
  <c r="BP30" i="1"/>
  <c r="BP31" i="1" s="1"/>
  <c r="HE14" i="1"/>
  <c r="HE17" i="1" s="1"/>
  <c r="HE28" i="1"/>
  <c r="HE29" i="1" s="1"/>
  <c r="HE40" i="1"/>
  <c r="HD30" i="1"/>
  <c r="HD31" i="1" s="1"/>
  <c r="HD33" i="1" l="1"/>
  <c r="HD21" i="1" s="1"/>
  <c r="HF14" i="1"/>
  <c r="HF17" i="1" s="1"/>
  <c r="HF40" i="1"/>
  <c r="HF28" i="1"/>
  <c r="HF29" i="1" s="1"/>
  <c r="BP32" i="1"/>
  <c r="BP33" i="1" s="1"/>
  <c r="BP21" i="1" s="1"/>
  <c r="BP22" i="1" s="1"/>
  <c r="HE30" i="1"/>
  <c r="HE31" i="1" l="1"/>
  <c r="HE33" i="1" s="1"/>
  <c r="HE21" i="1" s="1"/>
  <c r="HF30" i="1"/>
  <c r="HF31" i="1" s="1"/>
  <c r="HG14" i="1"/>
  <c r="HG17" i="1" s="1"/>
  <c r="HG28" i="1"/>
  <c r="HG29" i="1" s="1"/>
  <c r="HG40" i="1"/>
  <c r="HF33" i="1" l="1"/>
  <c r="HF21" i="1" s="1"/>
  <c r="HH14" i="1"/>
  <c r="HH17" i="1" s="1"/>
  <c r="HH40" i="1"/>
  <c r="HH28" i="1"/>
  <c r="HH29" i="1" s="1"/>
  <c r="HG30" i="1"/>
  <c r="BP35" i="1"/>
  <c r="BP23" i="1"/>
  <c r="HG31" i="1" l="1"/>
  <c r="HG33" i="1" s="1"/>
  <c r="HG21" i="1" s="1"/>
  <c r="HH30" i="1"/>
  <c r="HI14" i="1"/>
  <c r="HI17" i="1" s="1"/>
  <c r="HI40" i="1"/>
  <c r="HI28" i="1"/>
  <c r="HI29" i="1" s="1"/>
  <c r="BP61" i="1"/>
  <c r="BQ20" i="1"/>
  <c r="BP25" i="1"/>
  <c r="HH31" i="1" l="1"/>
  <c r="HH33" i="1" s="1"/>
  <c r="HH21" i="1" s="1"/>
  <c r="HI30" i="1"/>
  <c r="BQ27" i="1"/>
  <c r="BQ29" i="1" s="1"/>
  <c r="HJ14" i="1"/>
  <c r="HJ17" i="1" s="1"/>
  <c r="HJ40" i="1"/>
  <c r="HJ28" i="1"/>
  <c r="HJ29" i="1" s="1"/>
  <c r="HI31" i="1" l="1"/>
  <c r="HI33" i="1" s="1"/>
  <c r="HI21" i="1" s="1"/>
  <c r="BQ30" i="1"/>
  <c r="BQ31" i="1" s="1"/>
  <c r="HK14" i="1"/>
  <c r="HK17" i="1" s="1"/>
  <c r="HK28" i="1"/>
  <c r="HK29" i="1" s="1"/>
  <c r="HK40" i="1"/>
  <c r="HJ30" i="1"/>
  <c r="HJ31" i="1" l="1"/>
  <c r="HJ33" i="1" s="1"/>
  <c r="HJ21" i="1" s="1"/>
  <c r="HK30" i="1"/>
  <c r="HL14" i="1"/>
  <c r="HL17" i="1" s="1"/>
  <c r="HL40" i="1"/>
  <c r="HL28" i="1"/>
  <c r="HL29" i="1" s="1"/>
  <c r="BQ32" i="1"/>
  <c r="BQ33" i="1" s="1"/>
  <c r="BQ21" i="1" s="1"/>
  <c r="BQ22" i="1" s="1"/>
  <c r="HK31" i="1" l="1"/>
  <c r="HK33" i="1" s="1"/>
  <c r="HK21" i="1" s="1"/>
  <c r="BQ23" i="1"/>
  <c r="HM14" i="1"/>
  <c r="HM17" i="1" s="1"/>
  <c r="HM40" i="1"/>
  <c r="HM28" i="1"/>
  <c r="HM29" i="1" s="1"/>
  <c r="HL30" i="1"/>
  <c r="HL31" i="1" l="1"/>
  <c r="HL33" i="1" s="1"/>
  <c r="HL21" i="1" s="1"/>
  <c r="BR20" i="1"/>
  <c r="BQ25" i="1"/>
  <c r="M28" i="1" s="1"/>
  <c r="HM30" i="1"/>
  <c r="HN14" i="1"/>
  <c r="HN17" i="1" s="1"/>
  <c r="HN28" i="1"/>
  <c r="HN29" i="1" s="1"/>
  <c r="HN40" i="1"/>
  <c r="BQ35" i="1"/>
  <c r="HM31" i="1" l="1"/>
  <c r="HM33" i="1" s="1"/>
  <c r="HM21" i="1" s="1"/>
  <c r="M37" i="1"/>
  <c r="U83" i="1" s="1"/>
  <c r="X72" i="1"/>
  <c r="N24" i="1"/>
  <c r="HN30" i="1"/>
  <c r="HO14" i="1"/>
  <c r="HO17" i="1" s="1"/>
  <c r="HO40" i="1"/>
  <c r="HO28" i="1"/>
  <c r="HO29" i="1" s="1"/>
  <c r="BR27" i="1"/>
  <c r="BR29" i="1" s="1"/>
  <c r="BQ61" i="1"/>
  <c r="HN31" i="1" l="1"/>
  <c r="HN33" i="1" s="1"/>
  <c r="HN21" i="1" s="1"/>
  <c r="BR30" i="1"/>
  <c r="BR31" i="1" s="1"/>
  <c r="HO30" i="1"/>
  <c r="HP14" i="1"/>
  <c r="HP17" i="1" s="1"/>
  <c r="HP40" i="1"/>
  <c r="HP28" i="1"/>
  <c r="HP29" i="1" s="1"/>
  <c r="HO31" i="1" l="1"/>
  <c r="HO33" i="1" s="1"/>
  <c r="HO21" i="1" s="1"/>
  <c r="BR32" i="1"/>
  <c r="BR33" i="1" s="1"/>
  <c r="BR21" i="1" s="1"/>
  <c r="BR22" i="1" s="1"/>
  <c r="HP30" i="1"/>
  <c r="HQ14" i="1"/>
  <c r="HQ17" i="1" s="1"/>
  <c r="HQ28" i="1"/>
  <c r="HQ29" i="1" s="1"/>
  <c r="HQ40" i="1"/>
  <c r="HP31" i="1" l="1"/>
  <c r="HP33" i="1" s="1"/>
  <c r="HP21" i="1" s="1"/>
  <c r="HQ30" i="1"/>
  <c r="HR14" i="1"/>
  <c r="HR17" i="1" s="1"/>
  <c r="HR28" i="1"/>
  <c r="HR29" i="1" s="1"/>
  <c r="HR40" i="1"/>
  <c r="HQ31" i="1" l="1"/>
  <c r="HQ33" i="1" s="1"/>
  <c r="HQ21" i="1" s="1"/>
  <c r="HS14" i="1"/>
  <c r="HS17" i="1" s="1"/>
  <c r="HS40" i="1"/>
  <c r="HS28" i="1"/>
  <c r="HS29" i="1" s="1"/>
  <c r="BR35" i="1"/>
  <c r="HR30" i="1"/>
  <c r="BR23" i="1"/>
  <c r="HR31" i="1" l="1"/>
  <c r="HR33" i="1" s="1"/>
  <c r="HR21" i="1" s="1"/>
  <c r="HS30" i="1"/>
  <c r="HT14" i="1"/>
  <c r="HT17" i="1" s="1"/>
  <c r="HT28" i="1"/>
  <c r="HT29" i="1" s="1"/>
  <c r="HT40" i="1"/>
  <c r="BR61" i="1"/>
  <c r="BS20" i="1"/>
  <c r="BR25" i="1"/>
  <c r="HS31" i="1" l="1"/>
  <c r="HS33" i="1" s="1"/>
  <c r="HS21" i="1" s="1"/>
  <c r="HT30" i="1"/>
  <c r="HU14" i="1"/>
  <c r="HU17" i="1" s="1"/>
  <c r="HU28" i="1"/>
  <c r="HU29" i="1" s="1"/>
  <c r="HU40" i="1"/>
  <c r="BS27" i="1"/>
  <c r="BS29" i="1" s="1"/>
  <c r="HT31" i="1" l="1"/>
  <c r="HT33" i="1" s="1"/>
  <c r="HT21" i="1" s="1"/>
  <c r="HV14" i="1"/>
  <c r="HV17" i="1" s="1"/>
  <c r="HV28" i="1"/>
  <c r="HV29" i="1" s="1"/>
  <c r="HV40" i="1"/>
  <c r="HU30" i="1"/>
  <c r="BS30" i="1"/>
  <c r="BS31" i="1" s="1"/>
  <c r="HU31" i="1" l="1"/>
  <c r="HU33" i="1" s="1"/>
  <c r="HU21" i="1" s="1"/>
  <c r="BS32" i="1"/>
  <c r="BS33" i="1" s="1"/>
  <c r="BS21" i="1" s="1"/>
  <c r="BS22" i="1" s="1"/>
  <c r="HV30" i="1"/>
  <c r="HW14" i="1"/>
  <c r="HW17" i="1" s="1"/>
  <c r="HW28" i="1"/>
  <c r="HW29" i="1" s="1"/>
  <c r="HW40" i="1"/>
  <c r="HV31" i="1" l="1"/>
  <c r="HV33" i="1" s="1"/>
  <c r="HV21" i="1" s="1"/>
  <c r="BS35" i="1"/>
  <c r="HW30" i="1"/>
  <c r="HX14" i="1"/>
  <c r="HX17" i="1" s="1"/>
  <c r="HX28" i="1"/>
  <c r="HX29" i="1" s="1"/>
  <c r="HX40" i="1"/>
  <c r="HW31" i="1" l="1"/>
  <c r="HW33" i="1" s="1"/>
  <c r="HW21" i="1" s="1"/>
  <c r="HX30" i="1"/>
  <c r="BS61" i="1"/>
  <c r="HY14" i="1"/>
  <c r="HY17" i="1" s="1"/>
  <c r="HY40" i="1"/>
  <c r="HY28" i="1"/>
  <c r="HY29" i="1" s="1"/>
  <c r="BS23" i="1"/>
  <c r="HX31" i="1" l="1"/>
  <c r="HX33" i="1" s="1"/>
  <c r="HX21" i="1" s="1"/>
  <c r="HY30" i="1"/>
  <c r="BT20" i="1"/>
  <c r="BS25" i="1"/>
  <c r="HZ14" i="1"/>
  <c r="HZ17" i="1" s="1"/>
  <c r="HZ40" i="1"/>
  <c r="HZ28" i="1"/>
  <c r="HZ29" i="1" s="1"/>
  <c r="HY31" i="1" l="1"/>
  <c r="HY33" i="1" s="1"/>
  <c r="HY21" i="1" s="1"/>
  <c r="BT27" i="1"/>
  <c r="BT29" i="1" s="1"/>
  <c r="HZ30" i="1"/>
  <c r="IA14" i="1"/>
  <c r="IA17" i="1" s="1"/>
  <c r="IA28" i="1"/>
  <c r="IA29" i="1" s="1"/>
  <c r="IA40" i="1"/>
  <c r="HZ31" i="1" l="1"/>
  <c r="HZ33" i="1" s="1"/>
  <c r="HZ21" i="1" s="1"/>
  <c r="IB14" i="1"/>
  <c r="IB17" i="1" s="1"/>
  <c r="IB40" i="1"/>
  <c r="IB28" i="1"/>
  <c r="IB29" i="1" s="1"/>
  <c r="IA30" i="1"/>
  <c r="BT30" i="1"/>
  <c r="BT31" i="1" s="1"/>
  <c r="IA31" i="1" l="1"/>
  <c r="IA33" i="1" s="1"/>
  <c r="IA21" i="1" s="1"/>
  <c r="BT32" i="1"/>
  <c r="BT33" i="1" s="1"/>
  <c r="BT21" i="1" s="1"/>
  <c r="BT22" i="1" s="1"/>
  <c r="IB30" i="1"/>
  <c r="IB31" i="1" l="1"/>
  <c r="IB33" i="1" s="1"/>
  <c r="IB21" i="1" s="1"/>
  <c r="BT35" i="1"/>
  <c r="BT61" i="1" l="1"/>
  <c r="BT23" i="1"/>
  <c r="BU20" i="1" l="1"/>
  <c r="BT25" i="1"/>
  <c r="BU27" i="1" l="1"/>
  <c r="BU29" i="1" s="1"/>
  <c r="BU30" i="1" l="1"/>
  <c r="BU31" i="1" s="1"/>
  <c r="BU32" i="1" l="1"/>
  <c r="BU33" i="1" s="1"/>
  <c r="BU21" i="1" s="1"/>
  <c r="BU22" i="1" s="1"/>
  <c r="BU35" i="1" l="1"/>
  <c r="BU61" i="1" l="1"/>
  <c r="BU23" i="1"/>
  <c r="BV20" i="1" l="1"/>
  <c r="BU25" i="1"/>
  <c r="BV27" i="1" l="1"/>
  <c r="BV29" i="1" s="1"/>
  <c r="BV30" i="1" l="1"/>
  <c r="BV31" i="1" s="1"/>
  <c r="BV32" i="1" l="1"/>
  <c r="BV33" i="1" s="1"/>
  <c r="BV21" i="1" s="1"/>
  <c r="BV22" i="1" s="1"/>
  <c r="BV35" i="1" l="1"/>
  <c r="BV23" i="1" l="1"/>
  <c r="BV61" i="1"/>
  <c r="BW20" i="1" l="1"/>
  <c r="BV25" i="1"/>
  <c r="BW27" i="1" l="1"/>
  <c r="BW29" i="1" s="1"/>
  <c r="BW30" i="1" l="1"/>
  <c r="BW31" i="1" s="1"/>
  <c r="BW32" i="1" l="1"/>
  <c r="BW33" i="1" s="1"/>
  <c r="BW21" i="1" s="1"/>
  <c r="BW22" i="1" s="1"/>
  <c r="BW35" i="1" l="1"/>
  <c r="BW61" i="1" l="1"/>
  <c r="BW23" i="1"/>
  <c r="BX20" i="1" l="1"/>
  <c r="BW25" i="1"/>
  <c r="BX27" i="1" l="1"/>
  <c r="BX29" i="1" s="1"/>
  <c r="BX30" i="1" l="1"/>
  <c r="BX31" i="1" s="1"/>
  <c r="BX32" i="1" l="1"/>
  <c r="BX33" i="1" s="1"/>
  <c r="BX21" i="1" s="1"/>
  <c r="BX22" i="1" s="1"/>
  <c r="BX35" i="1" l="1"/>
  <c r="BX23" i="1" l="1"/>
  <c r="BX61" i="1"/>
  <c r="BY20" i="1" l="1"/>
  <c r="BX25" i="1"/>
  <c r="BY27" i="1" l="1"/>
  <c r="BY29" i="1" s="1"/>
  <c r="BY30" i="1" l="1"/>
  <c r="BY31" i="1" s="1"/>
  <c r="BY32" i="1" l="1"/>
  <c r="BY33" i="1" s="1"/>
  <c r="BY21" i="1" s="1"/>
  <c r="BY22" i="1" s="1"/>
  <c r="BY35" i="1" l="1"/>
  <c r="BY23" i="1" l="1"/>
  <c r="BY61" i="1"/>
  <c r="BZ20" i="1" l="1"/>
  <c r="BY25" i="1"/>
  <c r="BZ27" i="1" l="1"/>
  <c r="BZ29" i="1" s="1"/>
  <c r="BZ30" i="1" l="1"/>
  <c r="BZ31" i="1" s="1"/>
  <c r="BZ32" i="1" l="1"/>
  <c r="BZ33" i="1" s="1"/>
  <c r="BZ21" i="1" s="1"/>
  <c r="BZ22" i="1" s="1"/>
  <c r="BZ35" i="1" l="1"/>
  <c r="BZ23" i="1" l="1"/>
  <c r="BZ61" i="1"/>
  <c r="CA20" i="1" l="1"/>
  <c r="BZ25" i="1"/>
  <c r="CA27" i="1" l="1"/>
  <c r="CA29" i="1" s="1"/>
  <c r="CA30" i="1" l="1"/>
  <c r="CA31" i="1" s="1"/>
  <c r="CA32" i="1" l="1"/>
  <c r="CA33" i="1" l="1"/>
  <c r="CA21" i="1" s="1"/>
  <c r="CA22" i="1" s="1"/>
  <c r="CA35" i="1" l="1"/>
  <c r="CA23" i="1"/>
  <c r="CB20" i="1" l="1"/>
  <c r="CA25" i="1"/>
  <c r="CA61" i="1"/>
  <c r="CB27" i="1" l="1"/>
  <c r="CB29" i="1" s="1"/>
  <c r="CB30" i="1" l="1"/>
  <c r="CB31" i="1" s="1"/>
  <c r="CB32" i="1" l="1"/>
  <c r="CB33" i="1" l="1"/>
  <c r="CB21" i="1" s="1"/>
  <c r="CB22" i="1" s="1"/>
  <c r="CB35" i="1" l="1"/>
  <c r="CB23" i="1"/>
  <c r="CC20" i="1" l="1"/>
  <c r="CB25" i="1"/>
  <c r="CB61" i="1"/>
  <c r="CC27" i="1" l="1"/>
  <c r="CC29" i="1" s="1"/>
  <c r="CC30" i="1" l="1"/>
  <c r="CC31" i="1" s="1"/>
  <c r="CC32" i="1" l="1"/>
  <c r="CC33" i="1" s="1"/>
  <c r="CC21" i="1" s="1"/>
  <c r="CC22" i="1" s="1"/>
  <c r="CC23" i="1" l="1"/>
  <c r="CD20" i="1" l="1"/>
  <c r="CC25" i="1"/>
  <c r="N28" i="1" s="1"/>
  <c r="CC35" i="1"/>
  <c r="Y72" i="1" l="1"/>
  <c r="N37" i="1"/>
  <c r="U84" i="1" s="1"/>
  <c r="O24" i="1"/>
  <c r="CD27" i="1"/>
  <c r="CD29" i="1" s="1"/>
  <c r="CC61" i="1"/>
  <c r="CD30" i="1" l="1"/>
  <c r="CD31" i="1" s="1"/>
  <c r="CD32" i="1" l="1"/>
  <c r="CD33" i="1" s="1"/>
  <c r="CD21" i="1" s="1"/>
  <c r="CD22" i="1" s="1"/>
  <c r="CD35" i="1" l="1"/>
  <c r="CD23" i="1"/>
  <c r="CE20" i="1" l="1"/>
  <c r="CD25" i="1"/>
  <c r="CD61" i="1"/>
  <c r="CE27" i="1" l="1"/>
  <c r="CE29" i="1" s="1"/>
  <c r="CE30" i="1" l="1"/>
  <c r="CE31" i="1" s="1"/>
  <c r="CE32" i="1" l="1"/>
  <c r="M33" i="1" l="1"/>
  <c r="N33" i="1"/>
  <c r="CE33" i="1"/>
  <c r="CE21" i="1" s="1"/>
  <c r="CE22" i="1" s="1"/>
  <c r="CE35" i="1" l="1"/>
  <c r="N39" i="1"/>
  <c r="W84" i="1" s="1"/>
  <c r="N27" i="1"/>
  <c r="N36" i="1" s="1"/>
  <c r="N38" i="1" s="1"/>
  <c r="V84" i="1" s="1"/>
  <c r="M39" i="1"/>
  <c r="W83" i="1" s="1"/>
  <c r="M27" i="1"/>
  <c r="M36" i="1" l="1"/>
  <c r="CE23" i="1"/>
  <c r="CE61" i="1"/>
  <c r="CF20" i="1" l="1"/>
  <c r="CE25" i="1"/>
  <c r="M38" i="1"/>
  <c r="V83" i="1" s="1"/>
  <c r="CF27" i="1" l="1"/>
  <c r="CF29" i="1" s="1"/>
  <c r="CF30" i="1" s="1"/>
  <c r="CF31" i="1" l="1"/>
  <c r="CF32" i="1" s="1"/>
  <c r="CF33" i="1" l="1"/>
  <c r="CF21" i="1" s="1"/>
  <c r="CF22" i="1" s="1"/>
  <c r="CF35" i="1" l="1"/>
  <c r="CF61" i="1" s="1"/>
  <c r="CF23" i="1"/>
  <c r="CF25" i="1" l="1"/>
  <c r="CG20" i="1"/>
  <c r="CG27" i="1" l="1"/>
  <c r="CG29" i="1" s="1"/>
  <c r="CG30" i="1" l="1"/>
  <c r="CG31" i="1" s="1"/>
  <c r="CG32" i="1" l="1"/>
  <c r="CG33" i="1" s="1"/>
  <c r="CG21" i="1" s="1"/>
  <c r="CG22" i="1" l="1"/>
  <c r="CG35" i="1" l="1"/>
  <c r="CG61" i="1" s="1"/>
  <c r="CG23" i="1"/>
  <c r="CH20" i="1" l="1"/>
  <c r="CG25" i="1"/>
  <c r="CH27" i="1"/>
  <c r="CH29" i="1" s="1"/>
  <c r="CH30" i="1" l="1"/>
  <c r="CH31" i="1" s="1"/>
  <c r="CH32" i="1" l="1"/>
  <c r="CH33" i="1" s="1"/>
  <c r="CH21" i="1" s="1"/>
  <c r="CH22" i="1" l="1"/>
  <c r="CH35" i="1" l="1"/>
  <c r="CH61" i="1" s="1"/>
  <c r="CH23" i="1"/>
  <c r="CI20" i="1" l="1"/>
  <c r="CH25" i="1"/>
  <c r="CI27" i="1" l="1"/>
  <c r="CI29" i="1" s="1"/>
  <c r="CI30" i="1" l="1"/>
  <c r="CI31" i="1" s="1"/>
  <c r="CI32" i="1" l="1"/>
  <c r="CI33" i="1" s="1"/>
  <c r="CI21" i="1" s="1"/>
  <c r="CI22" i="1" l="1"/>
  <c r="CI35" i="1" l="1"/>
  <c r="CI61" i="1" s="1"/>
  <c r="CI23" i="1"/>
  <c r="CI25" i="1" l="1"/>
  <c r="CJ20" i="1"/>
  <c r="CJ27" i="1"/>
  <c r="CJ29" i="1" s="1"/>
  <c r="CJ30" i="1" l="1"/>
  <c r="CJ31" i="1" s="1"/>
  <c r="CJ32" i="1" l="1"/>
  <c r="CJ33" i="1" s="1"/>
  <c r="CJ21" i="1" s="1"/>
  <c r="CJ22" i="1" l="1"/>
  <c r="CJ35" i="1" l="1"/>
  <c r="CJ61" i="1" s="1"/>
  <c r="CJ23" i="1"/>
  <c r="CJ25" i="1" l="1"/>
  <c r="CK20" i="1"/>
  <c r="CK27" i="1" l="1"/>
  <c r="CK29" i="1" s="1"/>
  <c r="CK30" i="1" l="1"/>
  <c r="CK31" i="1" s="1"/>
  <c r="CK32" i="1" l="1"/>
  <c r="CK33" i="1" s="1"/>
  <c r="CK21" i="1" s="1"/>
  <c r="CK22" i="1" l="1"/>
  <c r="CK35" i="1" l="1"/>
  <c r="CK61" i="1" s="1"/>
  <c r="CK23" i="1"/>
  <c r="CL20" i="1" l="1"/>
  <c r="CK25" i="1"/>
  <c r="CL27" i="1" l="1"/>
  <c r="CL29" i="1" s="1"/>
  <c r="CL30" i="1" l="1"/>
  <c r="CL31" i="1" s="1"/>
  <c r="CL32" i="1" l="1"/>
  <c r="CL33" i="1" s="1"/>
  <c r="CL21" i="1" s="1"/>
  <c r="CL22" i="1" l="1"/>
  <c r="CL35" i="1" l="1"/>
  <c r="CL61" i="1" s="1"/>
  <c r="CL23" i="1"/>
  <c r="CL25" i="1" l="1"/>
  <c r="CM20" i="1"/>
  <c r="CM27" i="1" l="1"/>
  <c r="CM29" i="1" s="1"/>
  <c r="CM30" i="1" l="1"/>
  <c r="CM31" i="1" s="1"/>
  <c r="CM32" i="1" l="1"/>
  <c r="CM33" i="1" s="1"/>
  <c r="CM21" i="1" s="1"/>
  <c r="CM22" i="1" l="1"/>
  <c r="CM35" i="1" l="1"/>
  <c r="CM61" i="1" s="1"/>
  <c r="CM23" i="1"/>
  <c r="CM25" i="1" l="1"/>
  <c r="CN20" i="1"/>
  <c r="CN27" i="1" l="1"/>
  <c r="CN29" i="1" s="1"/>
  <c r="CN30" i="1" l="1"/>
  <c r="CN31" i="1" s="1"/>
  <c r="CN32" i="1" l="1"/>
  <c r="CN33" i="1" s="1"/>
  <c r="CN21" i="1" s="1"/>
  <c r="CN22" i="1" l="1"/>
  <c r="CN35" i="1" l="1"/>
  <c r="CN61" i="1" s="1"/>
  <c r="CN23" i="1"/>
  <c r="CN25" i="1" l="1"/>
  <c r="CO20" i="1"/>
  <c r="CO27" i="1" l="1"/>
  <c r="CO29" i="1" s="1"/>
  <c r="CO30" i="1" l="1"/>
  <c r="CO31" i="1" s="1"/>
  <c r="CO32" i="1" l="1"/>
  <c r="CO33" i="1" s="1"/>
  <c r="CO21" i="1" s="1"/>
  <c r="CO22" i="1" l="1"/>
  <c r="CO35" i="1" l="1"/>
  <c r="CO61" i="1" s="1"/>
  <c r="CO23" i="1"/>
  <c r="CP20" i="1" l="1"/>
  <c r="CO25" i="1"/>
  <c r="CP27" i="1" l="1"/>
  <c r="CP29" i="1" s="1"/>
  <c r="O28" i="1"/>
  <c r="CP30" i="1" l="1"/>
  <c r="CP31" i="1" s="1"/>
  <c r="O37" i="1"/>
  <c r="Z72" i="1"/>
  <c r="P24" i="1"/>
  <c r="CP32" i="1" l="1"/>
  <c r="CP33" i="1" s="1"/>
  <c r="CP21" i="1" s="1"/>
  <c r="U85" i="1"/>
  <c r="CP22" i="1" l="1"/>
  <c r="CP35" i="1" l="1"/>
  <c r="CP61" i="1" s="1"/>
  <c r="CP23" i="1"/>
  <c r="CP25" i="1" l="1"/>
  <c r="CQ20" i="1"/>
  <c r="CQ27" i="1" l="1"/>
  <c r="CQ29" i="1" s="1"/>
  <c r="CQ30" i="1" l="1"/>
  <c r="CQ31" i="1" s="1"/>
  <c r="CQ32" i="1" l="1"/>
  <c r="CQ33" i="1" s="1"/>
  <c r="CQ21" i="1" s="1"/>
  <c r="CQ22" i="1" l="1"/>
  <c r="CQ35" i="1" l="1"/>
  <c r="CQ61" i="1" s="1"/>
  <c r="CQ23" i="1"/>
  <c r="CQ25" i="1" l="1"/>
  <c r="CR20" i="1"/>
  <c r="CR27" i="1" l="1"/>
  <c r="CR29" i="1" s="1"/>
  <c r="CR30" i="1" l="1"/>
  <c r="CR31" i="1" s="1"/>
  <c r="CR32" i="1" l="1"/>
  <c r="CR33" i="1" s="1"/>
  <c r="CR21" i="1" s="1"/>
  <c r="CR22" i="1" l="1"/>
  <c r="CR35" i="1" l="1"/>
  <c r="CR61" i="1" s="1"/>
  <c r="CR23" i="1"/>
  <c r="CR25" i="1" l="1"/>
  <c r="CS20" i="1"/>
  <c r="CS27" i="1" l="1"/>
  <c r="CS29" i="1" s="1"/>
  <c r="CS30" i="1" l="1"/>
  <c r="CS31" i="1" s="1"/>
  <c r="CS32" i="1" l="1"/>
  <c r="CS33" i="1" s="1"/>
  <c r="CS21" i="1" s="1"/>
  <c r="CS22" i="1" l="1"/>
  <c r="CS35" i="1" l="1"/>
  <c r="CS61" i="1" s="1"/>
  <c r="CS23" i="1"/>
  <c r="CS25" i="1" l="1"/>
  <c r="CT20" i="1"/>
  <c r="CT27" i="1" l="1"/>
  <c r="CT29" i="1" s="1"/>
  <c r="CT30" i="1" l="1"/>
  <c r="CT31" i="1" s="1"/>
  <c r="CT32" i="1" l="1"/>
  <c r="CT33" i="1" s="1"/>
  <c r="CT21" i="1" s="1"/>
  <c r="CT22" i="1" l="1"/>
  <c r="CT35" i="1" l="1"/>
  <c r="CT61" i="1" s="1"/>
  <c r="CT23" i="1"/>
  <c r="CT25" i="1" l="1"/>
  <c r="CU20" i="1"/>
  <c r="CU27" i="1" l="1"/>
  <c r="CU29" i="1" s="1"/>
  <c r="CU30" i="1" l="1"/>
  <c r="CU31" i="1" s="1"/>
  <c r="CU32" i="1" l="1"/>
  <c r="CU33" i="1" s="1"/>
  <c r="CU21" i="1" s="1"/>
  <c r="CU22" i="1" l="1"/>
  <c r="CU35" i="1" l="1"/>
  <c r="CU61" i="1" s="1"/>
  <c r="CU23" i="1"/>
  <c r="CU25" i="1" l="1"/>
  <c r="CV20" i="1"/>
  <c r="CV27" i="1" l="1"/>
  <c r="CV29" i="1" s="1"/>
  <c r="CV30" i="1" l="1"/>
  <c r="CV31" i="1" s="1"/>
  <c r="CV32" i="1" l="1"/>
  <c r="CV33" i="1" s="1"/>
  <c r="CV21" i="1" s="1"/>
  <c r="CV22" i="1" l="1"/>
  <c r="CV35" i="1" l="1"/>
  <c r="CV61" i="1" s="1"/>
  <c r="CV23" i="1"/>
  <c r="CW20" i="1" l="1"/>
  <c r="CV25" i="1"/>
  <c r="CW27" i="1" l="1"/>
  <c r="CW29" i="1" s="1"/>
  <c r="CW30" i="1" l="1"/>
  <c r="CW31" i="1" s="1"/>
  <c r="CW32" i="1" l="1"/>
  <c r="CW33" i="1" s="1"/>
  <c r="CW21" i="1" s="1"/>
  <c r="CW22" i="1" l="1"/>
  <c r="CW35" i="1" l="1"/>
  <c r="CW61" i="1" s="1"/>
  <c r="CW23" i="1"/>
  <c r="CW25" i="1" l="1"/>
  <c r="CX20" i="1"/>
  <c r="CX27" i="1" l="1"/>
  <c r="CX29" i="1" s="1"/>
  <c r="CX30" i="1" l="1"/>
  <c r="CX31" i="1" s="1"/>
  <c r="CX32" i="1" l="1"/>
  <c r="CX33" i="1" s="1"/>
  <c r="CX21" i="1" s="1"/>
  <c r="CX22" i="1" l="1"/>
  <c r="CX35" i="1" l="1"/>
  <c r="CX61" i="1" s="1"/>
  <c r="CX23" i="1"/>
  <c r="CX25" i="1" l="1"/>
  <c r="CY20" i="1"/>
  <c r="CY27" i="1" l="1"/>
  <c r="CY29" i="1" s="1"/>
  <c r="CY30" i="1" l="1"/>
  <c r="CY31" i="1" s="1"/>
  <c r="CY32" i="1" l="1"/>
  <c r="CY33" i="1" s="1"/>
  <c r="CY21" i="1" s="1"/>
  <c r="CY22" i="1" l="1"/>
  <c r="CY35" i="1" l="1"/>
  <c r="CY61" i="1" s="1"/>
  <c r="CY23" i="1"/>
  <c r="CZ20" i="1" l="1"/>
  <c r="CY25" i="1"/>
  <c r="CZ27" i="1" l="1"/>
  <c r="CZ29" i="1" s="1"/>
  <c r="CZ30" i="1" l="1"/>
  <c r="CZ31" i="1" s="1"/>
  <c r="CZ32" i="1" l="1"/>
  <c r="CZ33" i="1" s="1"/>
  <c r="CZ21" i="1" s="1"/>
  <c r="CZ22" i="1" l="1"/>
  <c r="CZ35" i="1" l="1"/>
  <c r="CZ61" i="1" s="1"/>
  <c r="CZ23" i="1"/>
  <c r="CZ25" i="1" l="1"/>
  <c r="DA20" i="1"/>
  <c r="DA27" i="1" l="1"/>
  <c r="DA29" i="1" s="1"/>
  <c r="DA30" i="1" l="1"/>
  <c r="DA31" i="1" s="1"/>
  <c r="DA32" i="1" l="1"/>
  <c r="DA33" i="1" s="1"/>
  <c r="DA21" i="1" s="1"/>
  <c r="DA22" i="1" l="1"/>
  <c r="DA35" i="1" l="1"/>
  <c r="DA61" i="1" s="1"/>
  <c r="DA23" i="1"/>
  <c r="DA25" i="1" l="1"/>
  <c r="DB20" i="1"/>
  <c r="DB27" i="1" l="1"/>
  <c r="DB29" i="1" s="1"/>
  <c r="P28" i="1"/>
  <c r="DB30" i="1" l="1"/>
  <c r="DB31" i="1" s="1"/>
  <c r="AA72" i="1"/>
  <c r="P37" i="1"/>
  <c r="DB32" i="1" l="1"/>
  <c r="DB33" i="1" s="1"/>
  <c r="DB21" i="1" s="1"/>
  <c r="U86" i="1"/>
  <c r="DB22" i="1" l="1"/>
  <c r="DB35" i="1" l="1"/>
  <c r="DB61" i="1" s="1"/>
  <c r="DB23" i="1"/>
  <c r="DB25" i="1" l="1"/>
  <c r="DC20" i="1"/>
  <c r="DC27" i="1" l="1"/>
  <c r="DC29" i="1" s="1"/>
  <c r="DC30" i="1" l="1"/>
  <c r="DC31" i="1" s="1"/>
  <c r="DC32" i="1" l="1"/>
  <c r="DC33" i="1" s="1"/>
  <c r="DC21" i="1" s="1"/>
  <c r="DC22" i="1" l="1"/>
  <c r="DC35" i="1" l="1"/>
  <c r="DC61" i="1" s="1"/>
  <c r="DC23" i="1"/>
  <c r="DD20" i="1" l="1"/>
  <c r="DC25" i="1"/>
  <c r="DD27" i="1" l="1"/>
  <c r="DD29" i="1" s="1"/>
  <c r="DD30" i="1" l="1"/>
  <c r="DD31" i="1" s="1"/>
  <c r="DD32" i="1" l="1"/>
  <c r="DD33" i="1" s="1"/>
  <c r="DD21" i="1" s="1"/>
  <c r="DD22" i="1" l="1"/>
  <c r="DD35" i="1" l="1"/>
  <c r="DD61" i="1" s="1"/>
  <c r="DD23" i="1"/>
  <c r="DD25" i="1" l="1"/>
  <c r="DE20" i="1"/>
  <c r="DE27" i="1" l="1"/>
  <c r="DE29" i="1" s="1"/>
  <c r="DE30" i="1" l="1"/>
  <c r="DE31" i="1" s="1"/>
  <c r="DE32" i="1" l="1"/>
  <c r="DE33" i="1" s="1"/>
  <c r="DE21" i="1" s="1"/>
  <c r="DE22" i="1" l="1"/>
  <c r="DE35" i="1" l="1"/>
  <c r="DE61" i="1" s="1"/>
  <c r="DE23" i="1"/>
  <c r="DE25" i="1" l="1"/>
  <c r="DF20" i="1"/>
  <c r="DF27" i="1" l="1"/>
  <c r="DF29" i="1" s="1"/>
  <c r="DF30" i="1" l="1"/>
  <c r="DF31" i="1" s="1"/>
  <c r="DF32" i="1" l="1"/>
  <c r="DF33" i="1" s="1"/>
  <c r="DF21" i="1" s="1"/>
  <c r="O33" i="1" l="1"/>
  <c r="P33" i="1"/>
  <c r="P39" i="1" s="1"/>
  <c r="W86" i="1" s="1"/>
  <c r="DF22" i="1"/>
  <c r="O39" i="1" l="1"/>
  <c r="W85" i="1" s="1"/>
  <c r="Q33" i="1"/>
  <c r="DF35" i="1"/>
  <c r="DF61" i="1" s="1"/>
  <c r="DF23" i="1"/>
  <c r="DF25" i="1" l="1"/>
  <c r="DG27" i="1" s="1"/>
  <c r="DG29" i="1" s="1"/>
  <c r="DG20" i="1"/>
  <c r="DG30" i="1" l="1"/>
  <c r="DG31" i="1" s="1"/>
  <c r="DG33" i="1" s="1"/>
  <c r="DG21" i="1" s="1"/>
  <c r="P27" i="1" l="1"/>
  <c r="P36" i="1" s="1"/>
  <c r="P38" i="1" s="1"/>
  <c r="V86" i="1" s="1"/>
  <c r="O27" i="1"/>
  <c r="DG22" i="1"/>
  <c r="DG35" i="1" l="1"/>
  <c r="DG61" i="1" s="1"/>
  <c r="DG23" i="1"/>
  <c r="O36" i="1"/>
  <c r="Q27" i="1"/>
  <c r="DH20" i="1" l="1"/>
  <c r="DH22" i="1" s="1"/>
  <c r="DG25" i="1"/>
  <c r="O38" i="1"/>
  <c r="V85" i="1" s="1"/>
  <c r="Q36" i="1"/>
  <c r="F49" i="1"/>
  <c r="G49" i="1"/>
  <c r="DH35" i="1" l="1"/>
  <c r="DH61" i="1" s="1"/>
  <c r="DH23" i="1"/>
  <c r="DI20" i="1" l="1"/>
  <c r="DH25" i="1"/>
  <c r="DI22" i="1" l="1"/>
  <c r="DI35" i="1" l="1"/>
  <c r="DI61" i="1" s="1"/>
  <c r="DI23" i="1"/>
  <c r="DI25" i="1" l="1"/>
  <c r="DJ20" i="1"/>
  <c r="DJ22" i="1" l="1"/>
  <c r="DJ35" i="1" l="1"/>
  <c r="DJ61" i="1" s="1"/>
  <c r="DJ23" i="1"/>
  <c r="DK20" i="1" l="1"/>
  <c r="DJ25" i="1"/>
  <c r="DK22" i="1" l="1"/>
  <c r="DK35" i="1" l="1"/>
  <c r="DK61" i="1" s="1"/>
  <c r="DK23" i="1"/>
  <c r="DL20" i="1" l="1"/>
  <c r="DK25" i="1"/>
  <c r="DL22" i="1" l="1"/>
  <c r="DL35" i="1" l="1"/>
  <c r="DL61" i="1" s="1"/>
  <c r="DL23" i="1"/>
  <c r="DM20" i="1" l="1"/>
  <c r="DL25" i="1"/>
  <c r="DM22" i="1" l="1"/>
  <c r="DM35" i="1" l="1"/>
  <c r="DM61" i="1" s="1"/>
  <c r="DM23" i="1"/>
  <c r="DN20" i="1" l="1"/>
  <c r="DM25" i="1"/>
  <c r="DN22" i="1" l="1"/>
  <c r="DN35" i="1" l="1"/>
  <c r="DN61" i="1" s="1"/>
  <c r="DN23" i="1"/>
  <c r="DO20" i="1" l="1"/>
  <c r="DN25" i="1"/>
  <c r="DO22" i="1" l="1"/>
  <c r="DO35" i="1" l="1"/>
  <c r="DO61" i="1" s="1"/>
  <c r="DO23" i="1"/>
  <c r="DO25" i="1" l="1"/>
  <c r="DP20" i="1"/>
  <c r="DP22" i="1" l="1"/>
  <c r="DP35" i="1" l="1"/>
  <c r="DP61" i="1" s="1"/>
  <c r="DP23" i="1"/>
  <c r="DQ20" i="1" l="1"/>
  <c r="DP25" i="1"/>
  <c r="DQ22" i="1" l="1"/>
  <c r="DQ35" i="1" l="1"/>
  <c r="DQ61" i="1" s="1"/>
  <c r="DQ23" i="1"/>
  <c r="DQ25" i="1" l="1"/>
  <c r="DR20" i="1"/>
  <c r="DR22" i="1" l="1"/>
  <c r="DR35" i="1" l="1"/>
  <c r="DR61" i="1" s="1"/>
  <c r="DR23" i="1"/>
  <c r="DS20" i="1" l="1"/>
  <c r="DR25" i="1"/>
  <c r="DS22" i="1" l="1"/>
  <c r="DS35" i="1" l="1"/>
  <c r="DS61" i="1" s="1"/>
  <c r="DS23" i="1"/>
  <c r="DS25" i="1" l="1"/>
  <c r="DT20" i="1"/>
  <c r="DT22" i="1" l="1"/>
  <c r="DT35" i="1" l="1"/>
  <c r="DT61" i="1" s="1"/>
  <c r="DT23" i="1"/>
  <c r="DU20" i="1" l="1"/>
  <c r="DT25" i="1"/>
  <c r="DU22" i="1" l="1"/>
  <c r="DU35" i="1" l="1"/>
  <c r="DU61" i="1" s="1"/>
  <c r="DU23" i="1"/>
  <c r="DV20" i="1" l="1"/>
  <c r="DU25" i="1"/>
  <c r="DV22" i="1" l="1"/>
  <c r="DV35" i="1" l="1"/>
  <c r="DV61" i="1" s="1"/>
  <c r="DV23" i="1"/>
  <c r="DW20" i="1" l="1"/>
  <c r="DV25" i="1"/>
  <c r="DW22" i="1" l="1"/>
  <c r="DW35" i="1" l="1"/>
  <c r="DW61" i="1" s="1"/>
  <c r="DW23" i="1"/>
  <c r="DX20" i="1" l="1"/>
  <c r="DW25" i="1"/>
  <c r="DX22" i="1" l="1"/>
  <c r="DX35" i="1" l="1"/>
  <c r="DX61" i="1" s="1"/>
  <c r="DX23" i="1"/>
  <c r="DY20" i="1" l="1"/>
  <c r="DX25" i="1"/>
  <c r="DY22" i="1" l="1"/>
  <c r="DY35" i="1" l="1"/>
  <c r="DY61" i="1" s="1"/>
  <c r="DY23" i="1"/>
  <c r="DZ20" i="1" l="1"/>
  <c r="DY25" i="1"/>
  <c r="DZ22" i="1" l="1"/>
  <c r="DZ35" i="1" l="1"/>
  <c r="DZ61" i="1" s="1"/>
  <c r="DZ23" i="1"/>
  <c r="DZ25" i="1" l="1"/>
  <c r="EA20" i="1"/>
  <c r="EA22" i="1" l="1"/>
  <c r="EA35" i="1" l="1"/>
  <c r="EA61" i="1" s="1"/>
  <c r="EA23" i="1"/>
  <c r="EB20" i="1" l="1"/>
  <c r="EA25" i="1"/>
  <c r="EB22" i="1" l="1"/>
  <c r="EB35" i="1" l="1"/>
  <c r="EB61" i="1" s="1"/>
  <c r="EB23" i="1"/>
  <c r="EC20" i="1" l="1"/>
  <c r="EB25" i="1"/>
  <c r="EC22" i="1" l="1"/>
  <c r="EC35" i="1" l="1"/>
  <c r="EC61" i="1" s="1"/>
  <c r="EC23" i="1"/>
  <c r="ED20" i="1" l="1"/>
  <c r="EC25" i="1"/>
  <c r="ED22" i="1" l="1"/>
  <c r="ED35" i="1" l="1"/>
  <c r="ED61" i="1" s="1"/>
  <c r="ED23" i="1"/>
  <c r="EE20" i="1" l="1"/>
  <c r="ED25" i="1"/>
  <c r="EE22" i="1" l="1"/>
  <c r="EE35" i="1" l="1"/>
  <c r="EE61" i="1" s="1"/>
  <c r="EE23" i="1"/>
  <c r="EF20" i="1" l="1"/>
  <c r="EE25" i="1"/>
  <c r="EF22" i="1" l="1"/>
  <c r="EF35" i="1" l="1"/>
  <c r="EF61" i="1" s="1"/>
  <c r="EF23" i="1"/>
  <c r="EF25" i="1" l="1"/>
  <c r="EG20" i="1"/>
  <c r="EG22" i="1" l="1"/>
  <c r="EG35" i="1" l="1"/>
  <c r="EG61" i="1" s="1"/>
  <c r="EG23" i="1"/>
  <c r="EH20" i="1" l="1"/>
  <c r="EG25" i="1"/>
  <c r="EH22" i="1" l="1"/>
  <c r="EH35" i="1" l="1"/>
  <c r="EH61" i="1" s="1"/>
  <c r="EH23" i="1"/>
  <c r="EI20" i="1" l="1"/>
  <c r="EH25" i="1"/>
  <c r="EI22" i="1" l="1"/>
  <c r="EI35" i="1" l="1"/>
  <c r="EI61" i="1" s="1"/>
  <c r="EI23" i="1"/>
  <c r="EJ20" i="1" l="1"/>
  <c r="EI25" i="1"/>
  <c r="EJ22" i="1" l="1"/>
  <c r="EJ35" i="1" l="1"/>
  <c r="EJ61" i="1" s="1"/>
  <c r="EJ23" i="1"/>
  <c r="EJ25" i="1" l="1"/>
  <c r="EK20" i="1"/>
  <c r="EK22" i="1" l="1"/>
  <c r="EK35" i="1" l="1"/>
  <c r="EK61" i="1" s="1"/>
  <c r="EK23" i="1"/>
  <c r="EK25" i="1" l="1"/>
  <c r="EL20" i="1"/>
  <c r="EL22" i="1" l="1"/>
  <c r="EL35" i="1" l="1"/>
  <c r="EL61" i="1" s="1"/>
  <c r="EL23" i="1"/>
  <c r="EL25" i="1" l="1"/>
  <c r="EM20" i="1"/>
  <c r="EM22" i="1" l="1"/>
  <c r="EM35" i="1" l="1"/>
  <c r="EM61" i="1" s="1"/>
  <c r="EM23" i="1"/>
  <c r="EN20" i="1" l="1"/>
  <c r="EM25" i="1"/>
  <c r="EN22" i="1" l="1"/>
  <c r="EN35" i="1" l="1"/>
  <c r="EN61" i="1" s="1"/>
  <c r="EN23" i="1"/>
  <c r="EO20" i="1" l="1"/>
  <c r="EN25" i="1"/>
  <c r="EO22" i="1" l="1"/>
  <c r="EO35" i="1" l="1"/>
  <c r="EO61" i="1" s="1"/>
  <c r="EO23" i="1"/>
  <c r="EO25" i="1" l="1"/>
  <c r="EP20" i="1"/>
  <c r="EP22" i="1" l="1"/>
  <c r="EP35" i="1" l="1"/>
  <c r="EP61" i="1" s="1"/>
  <c r="EP23" i="1"/>
  <c r="EQ20" i="1" l="1"/>
  <c r="EP25" i="1"/>
  <c r="EQ22" i="1" l="1"/>
  <c r="EQ35" i="1" l="1"/>
  <c r="EQ61" i="1" s="1"/>
  <c r="EQ23" i="1"/>
  <c r="EQ25" i="1" l="1"/>
  <c r="ER20" i="1"/>
  <c r="ER22" i="1" s="1"/>
  <c r="ER35" i="1" l="1"/>
  <c r="ER61" i="1" s="1"/>
  <c r="ER23" i="1"/>
  <c r="ER25" i="1" l="1"/>
  <c r="ES20" i="1"/>
  <c r="ES22" i="1" s="1"/>
  <c r="ES35" i="1" l="1"/>
  <c r="ES61" i="1" s="1"/>
  <c r="ES23" i="1"/>
  <c r="ET20" i="1" l="1"/>
  <c r="ET22" i="1" s="1"/>
  <c r="ES25" i="1"/>
  <c r="ET35" i="1" l="1"/>
  <c r="ET61" i="1" s="1"/>
  <c r="ET23" i="1"/>
  <c r="EU20" i="1" l="1"/>
  <c r="ET25" i="1"/>
  <c r="EU22" i="1" l="1"/>
  <c r="EU35" i="1" l="1"/>
  <c r="EU61" i="1" s="1"/>
  <c r="EU23" i="1"/>
  <c r="EU25" i="1" l="1"/>
  <c r="EV20" i="1"/>
  <c r="EV22" i="1" l="1"/>
  <c r="EV35" i="1" l="1"/>
  <c r="EV61" i="1" s="1"/>
  <c r="EV23" i="1"/>
  <c r="EW20" i="1" l="1"/>
  <c r="EV25" i="1"/>
  <c r="EW22" i="1" l="1"/>
  <c r="EW35" i="1" l="1"/>
  <c r="EW61" i="1" s="1"/>
  <c r="EW23" i="1"/>
  <c r="EX20" i="1" l="1"/>
  <c r="EW25" i="1"/>
  <c r="EX22" i="1" l="1"/>
  <c r="EX35" i="1" l="1"/>
  <c r="EX61" i="1" s="1"/>
  <c r="EX23" i="1"/>
  <c r="EX25" i="1" l="1"/>
  <c r="EY20" i="1"/>
  <c r="EY22" i="1" l="1"/>
  <c r="EY35" i="1" l="1"/>
  <c r="EY61" i="1" s="1"/>
  <c r="EY23" i="1"/>
  <c r="EZ20" i="1" l="1"/>
  <c r="EY25" i="1"/>
  <c r="EZ22" i="1" l="1"/>
  <c r="EZ35" i="1" l="1"/>
  <c r="EZ61" i="1" s="1"/>
  <c r="EZ23" i="1"/>
  <c r="FA20" i="1" l="1"/>
  <c r="EZ25" i="1"/>
  <c r="FA22" i="1" l="1"/>
  <c r="FA35" i="1" l="1"/>
  <c r="FA61" i="1" s="1"/>
  <c r="FA23" i="1"/>
  <c r="FA25" i="1" l="1"/>
  <c r="FB20" i="1"/>
  <c r="FB22" i="1" s="1"/>
  <c r="FB35" i="1" l="1"/>
  <c r="FB61" i="1" s="1"/>
  <c r="FB23" i="1"/>
  <c r="FC20" i="1" l="1"/>
  <c r="FB25" i="1"/>
  <c r="FC22" i="1" l="1"/>
  <c r="FC35" i="1" l="1"/>
  <c r="FC61" i="1" s="1"/>
  <c r="FC23" i="1"/>
  <c r="FC25" i="1" l="1"/>
  <c r="FD20" i="1"/>
  <c r="FD22" i="1" l="1"/>
  <c r="FD35" i="1" l="1"/>
  <c r="FD61" i="1" s="1"/>
  <c r="FD23" i="1"/>
  <c r="FD25" i="1" l="1"/>
  <c r="FE20" i="1"/>
  <c r="FE22" i="1" l="1"/>
  <c r="FE35" i="1" l="1"/>
  <c r="FE61" i="1" s="1"/>
  <c r="FE23" i="1"/>
  <c r="FF20" i="1" l="1"/>
  <c r="FE25" i="1"/>
  <c r="FF22" i="1" l="1"/>
  <c r="FF35" i="1" l="1"/>
  <c r="FF61" i="1" s="1"/>
  <c r="FF23" i="1"/>
  <c r="FG20" i="1" l="1"/>
  <c r="FF25" i="1"/>
  <c r="FG22" i="1" l="1"/>
  <c r="FG35" i="1" l="1"/>
  <c r="FG61" i="1" s="1"/>
  <c r="FG23" i="1"/>
  <c r="FG25" i="1" l="1"/>
  <c r="FH20" i="1"/>
  <c r="FH22" i="1" l="1"/>
  <c r="FH35" i="1" l="1"/>
  <c r="FH61" i="1" s="1"/>
  <c r="FH23" i="1"/>
  <c r="FI20" i="1" l="1"/>
  <c r="FH25" i="1"/>
  <c r="FI22" i="1" l="1"/>
  <c r="FI35" i="1" l="1"/>
  <c r="FI61" i="1" s="1"/>
  <c r="FI23" i="1"/>
  <c r="FJ20" i="1" l="1"/>
  <c r="FI25" i="1"/>
  <c r="FJ22" i="1" l="1"/>
  <c r="FJ35" i="1" l="1"/>
  <c r="FJ61" i="1" s="1"/>
  <c r="FJ23" i="1"/>
  <c r="FK20" i="1" l="1"/>
  <c r="FJ25" i="1"/>
  <c r="FK22" i="1" l="1"/>
  <c r="FK35" i="1" l="1"/>
  <c r="FK61" i="1" s="1"/>
  <c r="FK23" i="1"/>
  <c r="FL20" i="1" l="1"/>
  <c r="FK25" i="1"/>
  <c r="FL22" i="1" l="1"/>
  <c r="FL35" i="1" l="1"/>
  <c r="FL61" i="1" s="1"/>
  <c r="FL23" i="1"/>
  <c r="FL25" i="1" l="1"/>
  <c r="FM20" i="1"/>
  <c r="FM22" i="1" s="1"/>
  <c r="FM35" i="1" l="1"/>
  <c r="FM61" i="1" s="1"/>
  <c r="FM23" i="1"/>
  <c r="FN20" i="1" l="1"/>
  <c r="FM25" i="1"/>
  <c r="FN22" i="1" l="1"/>
  <c r="FN35" i="1" l="1"/>
  <c r="FN61" i="1" s="1"/>
  <c r="FN23" i="1"/>
  <c r="FO20" i="1" l="1"/>
  <c r="FN25" i="1"/>
  <c r="FO22" i="1" l="1"/>
  <c r="FO35" i="1" l="1"/>
  <c r="FO61" i="1" s="1"/>
  <c r="FO23" i="1"/>
  <c r="FP20" i="1" l="1"/>
  <c r="FO25" i="1"/>
  <c r="FP22" i="1" l="1"/>
  <c r="FP35" i="1" l="1"/>
  <c r="FP61" i="1" s="1"/>
  <c r="FP23" i="1"/>
  <c r="FQ20" i="1" l="1"/>
  <c r="FP25" i="1"/>
  <c r="FQ22" i="1" l="1"/>
  <c r="FQ35" i="1" l="1"/>
  <c r="FQ61" i="1" s="1"/>
  <c r="FQ23" i="1"/>
  <c r="FR20" i="1" l="1"/>
  <c r="FQ25" i="1"/>
  <c r="FR22" i="1" l="1"/>
  <c r="FR35" i="1" l="1"/>
  <c r="FR61" i="1" s="1"/>
  <c r="FR23" i="1"/>
  <c r="FS20" i="1" l="1"/>
  <c r="FR25" i="1"/>
  <c r="FS22" i="1" l="1"/>
  <c r="FS35" i="1" l="1"/>
  <c r="FS61" i="1" s="1"/>
  <c r="FS23" i="1"/>
  <c r="FT20" i="1" l="1"/>
  <c r="FS25" i="1"/>
  <c r="FT22" i="1" l="1"/>
  <c r="FT35" i="1" l="1"/>
  <c r="FT61" i="1" s="1"/>
  <c r="FT23" i="1"/>
  <c r="FT25" i="1" l="1"/>
  <c r="FU20" i="1"/>
  <c r="FU22" i="1" s="1"/>
  <c r="FU35" i="1" l="1"/>
  <c r="FU61" i="1" s="1"/>
  <c r="FU23" i="1"/>
  <c r="FU25" i="1" l="1"/>
  <c r="FV20" i="1"/>
  <c r="FV22" i="1" l="1"/>
  <c r="FV35" i="1" l="1"/>
  <c r="FV61" i="1" s="1"/>
  <c r="FV23" i="1"/>
  <c r="FV25" i="1" l="1"/>
  <c r="FW20" i="1"/>
  <c r="FW22" i="1" s="1"/>
  <c r="FW35" i="1" l="1"/>
  <c r="FW61" i="1" s="1"/>
  <c r="FW23" i="1"/>
  <c r="FX20" i="1" l="1"/>
  <c r="FW25" i="1"/>
  <c r="FX22" i="1" l="1"/>
  <c r="FX35" i="1" l="1"/>
  <c r="FX61" i="1" s="1"/>
  <c r="FX23" i="1"/>
  <c r="FX25" i="1" l="1"/>
  <c r="FY20" i="1"/>
  <c r="FY22" i="1" s="1"/>
  <c r="FY35" i="1" l="1"/>
  <c r="FY61" i="1" s="1"/>
  <c r="FY23" i="1"/>
  <c r="FZ20" i="1" l="1"/>
  <c r="FY25" i="1"/>
  <c r="FZ22" i="1" l="1"/>
  <c r="FZ35" i="1" l="1"/>
  <c r="FZ61" i="1" s="1"/>
  <c r="FZ23" i="1"/>
  <c r="GA20" i="1" l="1"/>
  <c r="FZ25" i="1"/>
  <c r="GA22" i="1" l="1"/>
  <c r="GA35" i="1" l="1"/>
  <c r="GA61" i="1" s="1"/>
  <c r="GA23" i="1"/>
  <c r="GB20" i="1" l="1"/>
  <c r="GA25" i="1"/>
  <c r="GB22" i="1" l="1"/>
  <c r="GB35" i="1" l="1"/>
  <c r="GB61" i="1" s="1"/>
  <c r="GB23" i="1"/>
  <c r="GC20" i="1" l="1"/>
  <c r="GB25" i="1"/>
  <c r="GC22" i="1" l="1"/>
  <c r="GC35" i="1" l="1"/>
  <c r="GC61" i="1" s="1"/>
  <c r="GC23" i="1"/>
  <c r="GD20" i="1" l="1"/>
  <c r="GC25" i="1"/>
  <c r="GD22" i="1" l="1"/>
  <c r="GD35" i="1" l="1"/>
  <c r="GD61" i="1" s="1"/>
  <c r="GD23" i="1"/>
  <c r="GE20" i="1" l="1"/>
  <c r="GD25" i="1"/>
  <c r="GE22" i="1" l="1"/>
  <c r="GE35" i="1" l="1"/>
  <c r="GE61" i="1" s="1"/>
  <c r="GE23" i="1"/>
  <c r="GF20" i="1" l="1"/>
  <c r="GE25" i="1"/>
  <c r="GF22" i="1" l="1"/>
  <c r="GF35" i="1" l="1"/>
  <c r="GF61" i="1" s="1"/>
  <c r="GF23" i="1"/>
  <c r="GG20" i="1" l="1"/>
  <c r="GF25" i="1"/>
  <c r="GG22" i="1" l="1"/>
  <c r="GG35" i="1" l="1"/>
  <c r="GG61" i="1" s="1"/>
  <c r="GG23" i="1"/>
  <c r="GH20" i="1" l="1"/>
  <c r="GG25" i="1"/>
  <c r="GH22" i="1" l="1"/>
  <c r="GH35" i="1" l="1"/>
  <c r="GH61" i="1" s="1"/>
  <c r="GH23" i="1"/>
  <c r="GH25" i="1" l="1"/>
  <c r="GI20" i="1"/>
  <c r="GI22" i="1" l="1"/>
  <c r="GI35" i="1" l="1"/>
  <c r="GI61" i="1" s="1"/>
  <c r="GI23" i="1"/>
  <c r="GJ20" i="1" l="1"/>
  <c r="GI25" i="1"/>
  <c r="GJ22" i="1" l="1"/>
  <c r="GJ35" i="1" l="1"/>
  <c r="GJ61" i="1" s="1"/>
  <c r="GJ23" i="1"/>
  <c r="GK20" i="1" l="1"/>
  <c r="GJ25" i="1"/>
  <c r="GK22" i="1" l="1"/>
  <c r="GK35" i="1" l="1"/>
  <c r="GK61" i="1" s="1"/>
  <c r="GK23" i="1"/>
  <c r="GK25" i="1" l="1"/>
  <c r="GL20" i="1"/>
  <c r="GL22" i="1" l="1"/>
  <c r="GL35" i="1" l="1"/>
  <c r="GL61" i="1" s="1"/>
  <c r="GL23" i="1"/>
  <c r="GM20" i="1" l="1"/>
  <c r="GL25" i="1"/>
  <c r="GM22" i="1" l="1"/>
  <c r="GM35" i="1" l="1"/>
  <c r="GM61" i="1" s="1"/>
  <c r="GM23" i="1"/>
  <c r="GN20" i="1" l="1"/>
  <c r="GM25" i="1"/>
  <c r="GN22" i="1" l="1"/>
  <c r="GN35" i="1" l="1"/>
  <c r="GN61" i="1" s="1"/>
  <c r="GN23" i="1"/>
  <c r="GN25" i="1" l="1"/>
  <c r="GO20" i="1"/>
  <c r="GO22" i="1" l="1"/>
  <c r="GO35" i="1" l="1"/>
  <c r="GO61" i="1" s="1"/>
  <c r="GO23" i="1"/>
  <c r="GP20" i="1" l="1"/>
  <c r="GO25" i="1"/>
  <c r="GP22" i="1" l="1"/>
  <c r="GP35" i="1" l="1"/>
  <c r="GP61" i="1" s="1"/>
  <c r="GP23" i="1"/>
  <c r="GP25" i="1" l="1"/>
  <c r="GQ20" i="1"/>
  <c r="GQ22" i="1" l="1"/>
  <c r="GQ35" i="1" l="1"/>
  <c r="GQ61" i="1" s="1"/>
  <c r="GQ23" i="1"/>
  <c r="GR20" i="1" l="1"/>
  <c r="GQ25" i="1"/>
  <c r="GR22" i="1" l="1"/>
  <c r="GR35" i="1" l="1"/>
  <c r="GR61" i="1" s="1"/>
  <c r="GR23" i="1"/>
  <c r="GR25" i="1" l="1"/>
  <c r="GS20" i="1"/>
  <c r="GS22" i="1" l="1"/>
  <c r="GS35" i="1" l="1"/>
  <c r="GS61" i="1" s="1"/>
  <c r="GS23" i="1"/>
  <c r="GS25" i="1" l="1"/>
  <c r="GT20" i="1"/>
  <c r="GT22" i="1" l="1"/>
  <c r="GT35" i="1" l="1"/>
  <c r="GT61" i="1" s="1"/>
  <c r="GT23" i="1"/>
  <c r="GU20" i="1" l="1"/>
  <c r="GT25" i="1"/>
  <c r="GU22" i="1" l="1"/>
  <c r="GU35" i="1" l="1"/>
  <c r="GU61" i="1" s="1"/>
  <c r="GU23" i="1"/>
  <c r="GV20" i="1" l="1"/>
  <c r="GV22" i="1" s="1"/>
  <c r="GU25" i="1"/>
  <c r="GV35" i="1" l="1"/>
  <c r="GV61" i="1" s="1"/>
  <c r="GV23" i="1"/>
  <c r="GV25" i="1" l="1"/>
  <c r="GW20" i="1"/>
  <c r="GW22" i="1" l="1"/>
  <c r="GW35" i="1" l="1"/>
  <c r="GW61" i="1" s="1"/>
  <c r="GW23" i="1"/>
  <c r="GW25" i="1" l="1"/>
  <c r="GX20" i="1"/>
  <c r="GX22" i="1" l="1"/>
  <c r="GX35" i="1" l="1"/>
  <c r="GX61" i="1" s="1"/>
  <c r="GX23" i="1"/>
  <c r="GX25" i="1" l="1"/>
  <c r="GY20" i="1"/>
  <c r="GY22" i="1" l="1"/>
  <c r="GY35" i="1" l="1"/>
  <c r="GY61" i="1" s="1"/>
  <c r="GY23" i="1"/>
  <c r="GZ20" i="1" l="1"/>
  <c r="GY25" i="1"/>
  <c r="GZ22" i="1" l="1"/>
  <c r="GZ35" i="1" l="1"/>
  <c r="GZ61" i="1" s="1"/>
  <c r="GZ23" i="1"/>
  <c r="HA20" i="1" l="1"/>
  <c r="GZ25" i="1"/>
  <c r="HA22" i="1" l="1"/>
  <c r="HA35" i="1" l="1"/>
  <c r="HA61" i="1" s="1"/>
  <c r="HA23" i="1"/>
  <c r="HA25" i="1" l="1"/>
  <c r="HB20" i="1"/>
  <c r="HB22" i="1" l="1"/>
  <c r="HB35" i="1" l="1"/>
  <c r="HB61" i="1" s="1"/>
  <c r="HB23" i="1"/>
  <c r="HB25" i="1" l="1"/>
  <c r="HC20" i="1"/>
  <c r="HC22" i="1" l="1"/>
  <c r="HC35" i="1" l="1"/>
  <c r="HC61" i="1" s="1"/>
  <c r="HC23" i="1"/>
  <c r="HD20" i="1" l="1"/>
  <c r="HC25" i="1"/>
  <c r="HD22" i="1" l="1"/>
  <c r="HD35" i="1" l="1"/>
  <c r="HD61" i="1" s="1"/>
  <c r="HD23" i="1"/>
  <c r="J34" i="1"/>
  <c r="M34" i="1"/>
  <c r="M26" i="1" s="1"/>
  <c r="N34" i="1"/>
  <c r="N26" i="1" s="1"/>
  <c r="O34" i="1"/>
  <c r="O26" i="1" s="1"/>
  <c r="P34" i="1"/>
  <c r="P26" i="1" s="1"/>
  <c r="HE20" i="1" l="1"/>
  <c r="HE22" i="1" s="1"/>
  <c r="HD25" i="1"/>
  <c r="AA73" i="1"/>
  <c r="P29" i="1"/>
  <c r="Z73" i="1"/>
  <c r="O29" i="1"/>
  <c r="Y73" i="1"/>
  <c r="N29" i="1"/>
  <c r="X73" i="1"/>
  <c r="M29" i="1"/>
  <c r="Q34" i="1"/>
  <c r="G54" i="1"/>
  <c r="HE35" i="1" l="1"/>
  <c r="HE23" i="1"/>
  <c r="F54" i="1"/>
  <c r="Q26" i="1"/>
  <c r="U73" i="1"/>
  <c r="HE61" i="1" l="1"/>
  <c r="HE25" i="1"/>
  <c r="HF20" i="1"/>
  <c r="HF22" i="1" l="1"/>
  <c r="HF35" i="1" l="1"/>
  <c r="HF61" i="1" s="1"/>
  <c r="HF23" i="1"/>
  <c r="HF25" i="1" l="1"/>
  <c r="HG20" i="1"/>
  <c r="HG22" i="1" s="1"/>
  <c r="HG35" i="1" l="1"/>
  <c r="HG23" i="1"/>
  <c r="HG61" i="1" l="1"/>
  <c r="HH20" i="1"/>
  <c r="HG25" i="1"/>
  <c r="HH22" i="1" l="1"/>
  <c r="HH35" i="1" l="1"/>
  <c r="HH61" i="1" s="1"/>
  <c r="HH23" i="1"/>
  <c r="HI20" i="1" l="1"/>
  <c r="HI22" i="1" s="1"/>
  <c r="HH25" i="1"/>
  <c r="HI35" i="1" l="1"/>
  <c r="HI23" i="1"/>
  <c r="HI61" i="1" l="1"/>
  <c r="HJ20" i="1"/>
  <c r="HI25" i="1"/>
  <c r="HJ22" i="1" l="1"/>
  <c r="HJ35" i="1" l="1"/>
  <c r="HJ61" i="1" s="1"/>
  <c r="HJ23" i="1"/>
  <c r="HJ25" i="1" l="1"/>
  <c r="HK20" i="1"/>
  <c r="HK22" i="1" l="1"/>
  <c r="HK35" i="1" l="1"/>
  <c r="HK61" i="1" s="1"/>
  <c r="HK23" i="1"/>
  <c r="HL20" i="1" l="1"/>
  <c r="HK25" i="1"/>
  <c r="HL22" i="1" l="1"/>
  <c r="HL35" i="1" l="1"/>
  <c r="HL61" i="1" s="1"/>
  <c r="HL23" i="1"/>
  <c r="HM20" i="1" l="1"/>
  <c r="HM22" i="1" s="1"/>
  <c r="HL25" i="1"/>
  <c r="HM35" i="1" l="1"/>
  <c r="HM61" i="1" s="1"/>
  <c r="HM23" i="1"/>
  <c r="HM25" i="1" l="1"/>
  <c r="HN20" i="1"/>
  <c r="HN22" i="1" s="1"/>
  <c r="HN23" i="1" l="1"/>
  <c r="HN35" i="1"/>
  <c r="HN61" i="1" s="1"/>
  <c r="HO20" i="1" l="1"/>
  <c r="HO22" i="1" s="1"/>
  <c r="HN25" i="1"/>
  <c r="HO35" i="1" l="1"/>
  <c r="HO61" i="1" s="1"/>
  <c r="HO23" i="1"/>
  <c r="HP20" i="1" l="1"/>
  <c r="HO25" i="1"/>
  <c r="HP22" i="1" l="1"/>
  <c r="HP35" i="1" l="1"/>
  <c r="HP61" i="1" s="1"/>
  <c r="HP23" i="1"/>
  <c r="HQ20" i="1" l="1"/>
  <c r="HP25" i="1"/>
  <c r="HQ22" i="1" l="1"/>
  <c r="HQ35" i="1" l="1"/>
  <c r="HQ61" i="1" s="1"/>
  <c r="HQ23" i="1"/>
  <c r="HR20" i="1" l="1"/>
  <c r="HQ25" i="1"/>
  <c r="HR22" i="1" l="1"/>
  <c r="HR35" i="1" l="1"/>
  <c r="HR61" i="1" s="1"/>
  <c r="HR23" i="1"/>
  <c r="HR25" i="1" l="1"/>
  <c r="HS20" i="1"/>
  <c r="HS22" i="1" l="1"/>
  <c r="HS35" i="1" l="1"/>
  <c r="HS61" i="1" s="1"/>
  <c r="HS23" i="1"/>
  <c r="HT20" i="1" l="1"/>
  <c r="HS25" i="1"/>
  <c r="HT22" i="1" l="1"/>
  <c r="HT35" i="1" l="1"/>
  <c r="HT61" i="1" s="1"/>
  <c r="HT23" i="1"/>
  <c r="HT25" i="1" l="1"/>
  <c r="HU20" i="1"/>
  <c r="HU22" i="1" s="1"/>
  <c r="HU35" i="1" l="1"/>
  <c r="HU61" i="1" s="1"/>
  <c r="HU23" i="1"/>
  <c r="HV20" i="1" l="1"/>
  <c r="HU25" i="1"/>
  <c r="HV22" i="1" l="1"/>
  <c r="HV35" i="1" l="1"/>
  <c r="HV61" i="1" s="1"/>
  <c r="HV23" i="1"/>
  <c r="HW20" i="1" l="1"/>
  <c r="HV25" i="1"/>
  <c r="HW22" i="1" l="1"/>
  <c r="HW35" i="1" l="1"/>
  <c r="HW61" i="1" s="1"/>
  <c r="HW23" i="1"/>
  <c r="HX20" i="1" l="1"/>
  <c r="HW25" i="1"/>
  <c r="HX22" i="1" l="1"/>
  <c r="HX35" i="1" l="1"/>
  <c r="HX61" i="1" s="1"/>
  <c r="HX23" i="1"/>
  <c r="HY20" i="1" l="1"/>
  <c r="HX25" i="1"/>
  <c r="HY22" i="1" l="1"/>
  <c r="HY35" i="1" l="1"/>
  <c r="HY61" i="1" s="1"/>
  <c r="HY23" i="1"/>
  <c r="HZ20" i="1" l="1"/>
  <c r="HY25" i="1"/>
  <c r="HZ22" i="1" l="1"/>
  <c r="HZ35" i="1" l="1"/>
  <c r="HZ61" i="1" s="1"/>
  <c r="HZ23" i="1"/>
  <c r="IA20" i="1" l="1"/>
  <c r="HZ25" i="1"/>
  <c r="IA22" i="1" l="1"/>
  <c r="IA35" i="1" l="1"/>
  <c r="IA61" i="1" s="1"/>
  <c r="IA23" i="1"/>
  <c r="IB20" i="1" l="1"/>
  <c r="IA25" i="1"/>
  <c r="IB22" i="1" l="1"/>
  <c r="IB35" i="1" l="1"/>
  <c r="IB23" i="1"/>
  <c r="IB25" i="1" s="1"/>
  <c r="J28" i="1" s="1"/>
  <c r="IB61" i="1" l="1"/>
  <c r="BC60" i="1"/>
  <c r="DF60" i="1"/>
  <c r="AG60" i="1"/>
  <c r="BB60" i="1"/>
  <c r="DE60" i="1"/>
  <c r="AE60" i="1"/>
  <c r="AP60" i="1"/>
  <c r="AF60" i="1"/>
  <c r="BT60" i="1"/>
  <c r="BR60" i="1"/>
  <c r="BS60" i="1"/>
  <c r="BU60" i="1"/>
  <c r="BV60" i="1"/>
  <c r="DG60" i="1"/>
  <c r="BX60" i="1"/>
  <c r="BA60" i="1"/>
  <c r="CZ60" i="1"/>
  <c r="U56" i="1"/>
  <c r="CI60" i="1"/>
  <c r="BN60" i="1"/>
  <c r="DD60" i="1"/>
  <c r="AH60" i="1"/>
  <c r="AB60" i="1"/>
  <c r="CQ60" i="1"/>
  <c r="AZ60" i="1"/>
  <c r="BP60" i="1"/>
  <c r="AU60" i="1"/>
  <c r="BZ60" i="1"/>
  <c r="CU60" i="1"/>
  <c r="AQ60" i="1"/>
  <c r="BF60" i="1"/>
  <c r="BL60" i="1"/>
  <c r="AA60" i="1"/>
  <c r="AX60" i="1"/>
  <c r="CF60" i="1"/>
  <c r="CR60" i="1"/>
  <c r="V60" i="1"/>
  <c r="AD60" i="1"/>
  <c r="AC60" i="1"/>
  <c r="CO60" i="1"/>
  <c r="AW60" i="1"/>
  <c r="CY60" i="1"/>
  <c r="BW60" i="1"/>
  <c r="CD60" i="1"/>
  <c r="CM60" i="1"/>
  <c r="AO60" i="1"/>
  <c r="CL60" i="1"/>
  <c r="CP60" i="1"/>
  <c r="BH60" i="1"/>
  <c r="CA60" i="1"/>
  <c r="CJ60" i="1"/>
  <c r="W60" i="1"/>
  <c r="AJ60" i="1"/>
  <c r="CS60" i="1"/>
  <c r="Z60" i="1"/>
  <c r="CT60" i="1"/>
  <c r="CH60" i="1"/>
  <c r="AM60" i="1"/>
  <c r="X60" i="1"/>
  <c r="BE60" i="1"/>
  <c r="BY60" i="1"/>
  <c r="CX60" i="1"/>
  <c r="BJ60" i="1"/>
  <c r="BK60" i="1"/>
  <c r="CK60" i="1"/>
  <c r="AY60" i="1"/>
  <c r="Y60" i="1"/>
  <c r="AK60" i="1"/>
  <c r="AR60" i="1"/>
  <c r="BO60" i="1"/>
  <c r="DA60" i="1"/>
  <c r="AT60" i="1"/>
  <c r="BI60" i="1"/>
  <c r="CV60" i="1"/>
  <c r="CN60" i="1"/>
  <c r="CB60" i="1"/>
  <c r="BM60" i="1"/>
  <c r="CW60" i="1"/>
  <c r="BD60" i="1"/>
  <c r="AI60" i="1"/>
  <c r="CC60" i="1"/>
  <c r="BG60" i="1"/>
  <c r="AV60" i="1"/>
  <c r="AS60" i="1"/>
  <c r="AL60" i="1"/>
  <c r="AN60" i="1"/>
  <c r="CE60" i="1"/>
  <c r="CG60" i="1"/>
  <c r="DC60" i="1"/>
  <c r="DB60" i="1"/>
  <c r="BQ60" i="1"/>
  <c r="J29" i="1"/>
  <c r="U72" i="1"/>
  <c r="J37" i="1"/>
  <c r="K24" i="1"/>
  <c r="U59" i="1" l="1"/>
  <c r="U62" i="1"/>
  <c r="U63" i="1"/>
  <c r="U64" i="1"/>
  <c r="AA74" i="1"/>
  <c r="Z74" i="1"/>
  <c r="Y74" i="1"/>
  <c r="X74" i="1"/>
  <c r="W74" i="1"/>
  <c r="V74" i="1"/>
  <c r="U74" i="1"/>
  <c r="J39" i="1"/>
  <c r="W78" i="1" s="1"/>
  <c r="J38" i="1"/>
  <c r="V78" i="1" s="1"/>
  <c r="U80" i="1"/>
  <c r="K29" i="1"/>
  <c r="G52" i="1" s="1"/>
  <c r="G45" i="1" s="1"/>
  <c r="Q4" i="1" s="1"/>
  <c r="K37" i="1"/>
  <c r="U65" i="1" l="1"/>
  <c r="V80" i="1"/>
  <c r="W80" i="1"/>
  <c r="K39" i="1"/>
  <c r="W81" i="1" s="1"/>
  <c r="K38" i="1"/>
  <c r="V81" i="1" s="1"/>
  <c r="U81" i="1"/>
  <c r="W87" i="1" l="1"/>
  <c r="Q39" i="1" s="1"/>
  <c r="J40" i="1"/>
  <c r="V87" i="1"/>
  <c r="Q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<sst xmlns="http://schemas.openxmlformats.org/spreadsheetml/2006/main" count="161" uniqueCount="146">
  <si>
    <t>As of:</t>
  </si>
  <si>
    <t>Topside</t>
  </si>
  <si>
    <t>Fund Level Projection</t>
  </si>
  <si>
    <t xml:space="preserve">Case: </t>
  </si>
  <si>
    <t>Conservative</t>
  </si>
  <si>
    <t>DRAFT</t>
  </si>
  <si>
    <t>∆ Yrs. From</t>
  </si>
  <si>
    <t>Model Driver Assumptions</t>
  </si>
  <si>
    <t>Commitment</t>
  </si>
  <si>
    <t>Assumption Sanity Check</t>
  </si>
  <si>
    <t>Period</t>
  </si>
  <si>
    <t>Investment Name</t>
  </si>
  <si>
    <r>
      <t>Annual Model Return</t>
    </r>
    <r>
      <rPr>
        <i/>
        <vertAlign val="superscript"/>
        <sz val="14"/>
        <color theme="1"/>
        <rFont val="Garamond"/>
        <family val="1"/>
      </rPr>
      <t>2</t>
    </r>
  </si>
  <si>
    <t>Start Date</t>
  </si>
  <si>
    <t>Model Drivers</t>
  </si>
  <si>
    <t>(-) Mgmt Fees</t>
  </si>
  <si>
    <t>End Date</t>
  </si>
  <si>
    <t>(-) Carry</t>
  </si>
  <si>
    <t>Net Return</t>
  </si>
  <si>
    <r>
      <t>Model Return</t>
    </r>
    <r>
      <rPr>
        <vertAlign val="superscript"/>
        <sz val="14"/>
        <color theme="1"/>
        <rFont val="Calibri Light"/>
        <family val="1"/>
        <scheme val="major"/>
      </rPr>
      <t>2</t>
    </r>
  </si>
  <si>
    <r>
      <t>Wtd. Avg Return</t>
    </r>
    <r>
      <rPr>
        <b/>
        <vertAlign val="superscript"/>
        <sz val="14"/>
        <color theme="1"/>
        <rFont val="Garamond"/>
        <family val="1"/>
      </rPr>
      <t>4</t>
    </r>
  </si>
  <si>
    <t>Total Commitment</t>
  </si>
  <si>
    <t>FX</t>
  </si>
  <si>
    <t>Cash Distribution</t>
  </si>
  <si>
    <t>Effective Commitment</t>
  </si>
  <si>
    <t>% of Commitment to be Drawn</t>
  </si>
  <si>
    <t>Remaining Effective Unfunded Commitment</t>
  </si>
  <si>
    <t>Legal Unfunded Commitment</t>
  </si>
  <si>
    <r>
      <t>Current Funded (Assumed to be NAV)</t>
    </r>
    <r>
      <rPr>
        <vertAlign val="superscript"/>
        <sz val="14"/>
        <color theme="1"/>
        <rFont val="Calibri Light"/>
        <family val="1"/>
        <scheme val="major"/>
      </rPr>
      <t>3</t>
    </r>
  </si>
  <si>
    <t>Beginning Capital Account</t>
  </si>
  <si>
    <t>[A]</t>
  </si>
  <si>
    <t>(Plus) Capital Called</t>
  </si>
  <si>
    <t>Calculated Monthly Return</t>
  </si>
  <si>
    <t>(Less) Return of Capital (ROC)</t>
  </si>
  <si>
    <t>$ Millions</t>
  </si>
  <si>
    <t>Total</t>
  </si>
  <si>
    <t>REVISIT FORMULA NEXT QTR&gt;&gt;&gt;</t>
  </si>
  <si>
    <t>Ending Capital</t>
  </si>
  <si>
    <t>Calculated Monthly Distribution</t>
  </si>
  <si>
    <t>n/m</t>
  </si>
  <si>
    <t>[B]</t>
  </si>
  <si>
    <t>Beginning Unrealized Gain/(Loss)</t>
  </si>
  <si>
    <t>Legal Unfunded</t>
  </si>
  <si>
    <t>(Plus) Period Gain/(Loss)</t>
  </si>
  <si>
    <t>[C]</t>
  </si>
  <si>
    <t>Remaining Effective Unfunded</t>
  </si>
  <si>
    <t>(Less) Gain on Sale</t>
  </si>
  <si>
    <t>Ending Unrealized Gain/(Loss)</t>
  </si>
  <si>
    <t>Beginning NAV</t>
  </si>
  <si>
    <t>Capital Calls</t>
  </si>
  <si>
    <t>Net Asset Value</t>
  </si>
  <si>
    <t>Distributions</t>
  </si>
  <si>
    <t>Net Income</t>
  </si>
  <si>
    <t>Asset Income</t>
  </si>
  <si>
    <t>Ending NAV</t>
  </si>
  <si>
    <t>Management Fee</t>
  </si>
  <si>
    <t>Check</t>
  </si>
  <si>
    <t>Pre-Carry Income</t>
  </si>
  <si>
    <t>Carry</t>
  </si>
  <si>
    <t>Memo Items:</t>
  </si>
  <si>
    <t>Return of Capital (ROC)</t>
  </si>
  <si>
    <t>Dividend</t>
  </si>
  <si>
    <t>C -1</t>
  </si>
  <si>
    <t>Retained income</t>
  </si>
  <si>
    <t>CODM</t>
  </si>
  <si>
    <t>Gain on Sale</t>
  </si>
  <si>
    <t>Sub-CODM</t>
  </si>
  <si>
    <t>Total Cash Flow</t>
  </si>
  <si>
    <t>Geography</t>
  </si>
  <si>
    <t>Deal Lead</t>
  </si>
  <si>
    <t>Average NAV</t>
  </si>
  <si>
    <t>Mgmt Fee Memo</t>
  </si>
  <si>
    <t>Apollo Indicator</t>
  </si>
  <si>
    <r>
      <t>Period Return</t>
    </r>
    <r>
      <rPr>
        <b/>
        <vertAlign val="superscript"/>
        <sz val="14"/>
        <color theme="1"/>
        <rFont val="Calibri Light"/>
        <family val="1"/>
        <scheme val="major"/>
      </rPr>
      <t>4</t>
    </r>
  </si>
  <si>
    <t>Management Fee (Paid on Committed)</t>
  </si>
  <si>
    <t>Security Master ID</t>
  </si>
  <si>
    <t>Dividend Return</t>
  </si>
  <si>
    <t>Is Topside</t>
  </si>
  <si>
    <t>Memo - Annualized Return</t>
  </si>
  <si>
    <t>Management Fee (Paid on Invested)</t>
  </si>
  <si>
    <t>Alternative Category</t>
  </si>
  <si>
    <t>Don’t Delete</t>
  </si>
  <si>
    <t>Desk Comments:</t>
  </si>
  <si>
    <t>Calcuations for Pipeline Funds</t>
  </si>
  <si>
    <t>Activate Commitment (1=Y, 0=N)</t>
  </si>
  <si>
    <t>Sanity Check</t>
  </si>
  <si>
    <t>Period of First Capital Call (1=Y, 0=N)</t>
  </si>
  <si>
    <t>Materiality</t>
  </si>
  <si>
    <t>Investment &amp; Reinvestment End Date</t>
  </si>
  <si>
    <t>Capital Call</t>
  </si>
  <si>
    <t>Threshold</t>
  </si>
  <si>
    <t>Reinvestment &amp; Termination Date</t>
  </si>
  <si>
    <t>Asset Class Return &amp; Distribution Target</t>
  </si>
  <si>
    <t>NAV of 0 at 1 month after Termination Date</t>
  </si>
  <si>
    <t>Capital Call in appropriate years</t>
  </si>
  <si>
    <t>Total Commitment Check</t>
  </si>
  <si>
    <t>Roll Check</t>
  </si>
  <si>
    <t>Is investment on Excluded List?</t>
  </si>
  <si>
    <t>Negative Contribution or Positive Distribution?</t>
  </si>
  <si>
    <t>Commitment State Date Check</t>
  </si>
  <si>
    <t>First Capital Call Date Check</t>
  </si>
  <si>
    <t>IRR</t>
  </si>
  <si>
    <t>12-month IRR</t>
  </si>
  <si>
    <t>12-month Calc</t>
  </si>
  <si>
    <t>&lt;Stop&gt;</t>
  </si>
  <si>
    <t>Weighted Average Life</t>
  </si>
  <si>
    <t>WAL Calc</t>
  </si>
  <si>
    <t>12 mo CF</t>
  </si>
  <si>
    <t>NPV Yield + 0 Error</t>
  </si>
  <si>
    <t>NPV Yield - 25</t>
  </si>
  <si>
    <t>NPV Yield + 25</t>
  </si>
  <si>
    <t>Effective Duration</t>
  </si>
  <si>
    <t>For Chart - Don’t Delete</t>
  </si>
  <si>
    <t>NAV</t>
  </si>
  <si>
    <t>Net Cash Flow</t>
  </si>
  <si>
    <t>Peak NAV</t>
  </si>
  <si>
    <t>Actual fund amount &gt; modeled % of capital drawn</t>
  </si>
  <si>
    <t>Return Calc - Don’t Delete</t>
  </si>
  <si>
    <t>Fix so that date cant be 6/30</t>
  </si>
  <si>
    <t>Stub % of full year</t>
  </si>
  <si>
    <t>Stub period return</t>
  </si>
  <si>
    <t>Year</t>
  </si>
  <si>
    <t>Avg NAV</t>
  </si>
  <si>
    <t>Ann Return</t>
  </si>
  <si>
    <t>Wtd. Avg Total Return</t>
  </si>
  <si>
    <t>`</t>
  </si>
  <si>
    <t>Funded Amount</t>
  </si>
  <si>
    <t>Investment End Date</t>
  </si>
  <si>
    <t>Reinvestment End Date</t>
  </si>
  <si>
    <t>Termination Date</t>
  </si>
  <si>
    <t>Stated NAV</t>
  </si>
  <si>
    <t>Annual Fund Distribution Target</t>
  </si>
  <si>
    <t>% of Capital Drawn</t>
  </si>
  <si>
    <t>Mgmt Fee</t>
  </si>
  <si>
    <t>Paid on Committed?</t>
  </si>
  <si>
    <t>Carry Hurdle</t>
  </si>
  <si>
    <t>Currency</t>
  </si>
  <si>
    <t>USD</t>
  </si>
  <si>
    <t>Pipeline Overides: IGNORE</t>
  </si>
  <si>
    <t>IGNORE BELOW - WE DON'T NEED THIS</t>
  </si>
  <si>
    <t>Initial Commitment Month</t>
  </si>
  <si>
    <t>Ann. Asset Class Return (Conservative)</t>
  </si>
  <si>
    <t>Pipeline or Successor</t>
  </si>
  <si>
    <t>Commitment Start Date 
(Pipeline Only)</t>
  </si>
  <si>
    <t>First Capital Call Amount</t>
  </si>
  <si>
    <t>First Capital Call Date
(Pipeline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</si>
</sst>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6" formatCode="&quot;$&quot;#,##0_);[Red]\(&quot;$&quot;#,##0\)"/>
    <numFmt numFmtId="43" formatCode="_(* #,##0.00_);_(* \(#,##0.00\);_(* &quot;-&quot;??_);_(@_)"/>
    <numFmt numFmtId="164" formatCode="_(#,##0_)_%;\(#,##0\)_%;_(&quot;–&quot;_)_%;_(@_)_%"/>
    <numFmt numFmtId="165" formatCode="_(#,##0.0%_);\(#,##0.0%\);_(&quot;–&quot;_)_%;_(@_)_%"/>
    <numFmt numFmtId="166" formatCode="mm/dd/yy"/>
    <numFmt numFmtId="167" formatCode="0.0000%"/>
    <numFmt numFmtId="168" formatCode="mm/dd/yy;@"/>
    <numFmt numFmtId="169" formatCode="_(* #,##0_);_(* \(#,##0\);_(* &quot;-&quot;??_);_(@_)"/>
    <numFmt numFmtId="170" formatCode="m/d/yyyy;@"/>
    <numFmt numFmtId="171" formatCode="&quot;$&quot;#,###&quot;mm&quot;;_(&quot;$&quot;#,##0.00&quot;mm&quot;\);_(* &quot;-&quot;??_);_(@_)"/>
    <numFmt numFmtId="172" formatCode="&quot;$&quot;#,###&quot;mm&quot;;_(\(&quot;$&quot;#,##0.00&quot;mm&quot;\);_(* &quot;-&quot;??_);_(@_)"/>
    <numFmt numFmtId="173" formatCode="_(#,##0.0_)_%;\(#,##0.0\)_%;_(&quot;–&quot;_)_%;_(@_)_%"/>
    <numFmt numFmtId="174" formatCode="yyyy"/>
    <numFmt numFmtId="175" formatCode="#,##0.00&quot;y&quot;_);\(#,##0.0\)"/>
    <numFmt numFmtId="176" formatCode="_(#,##0.0000%_);\(#,##0.0000%\);_(&quot;–&quot;_)_%;_(@_)_%"/>
    <numFmt numFmtId="177" formatCode="m/d/yyyy;&quot;&quot;;_(&quot;–&quot;_)"/>
    <numFmt numFmtId="178" formatCode="0.000000000%"/>
    <numFmt numFmtId="179" formatCode="_(#,##0.000%_);\(#,##0.000%\);_(&quot;–&quot;_)_%;_(@_)_%"/>
    <numFmt numFmtId="180" formatCode="_(#,##0.00%_);\(#,##0.00%\);_(&quot;–&quot;_)_%;_(@_)_%"/>
    <numFmt numFmtId="181" formatCode="#0.0,,"/>
    <numFmt numFmtId="182" formatCode="0.000%"/>
    <numFmt numFmtId="183" formatCode="[$-409]mmmm\ d\,\ yyyy;@"/>
    <numFmt numFmtId="184" formatCode="#0.00000,,"/>
    <numFmt numFmtId="185" formatCode="_(#,##0%_);\(#,##0%\);_(&quot;–&quot;_)_%;_(@_)_%"/>
    <numFmt numFmtId="186" formatCode="_(* #,##0.0_);_(* \(#,##0.0\);_(* &quot;-&quot;??_);_(@_)"/>
    <numFmt numFmtId="187" formatCode="_(&quot;$&quot;#,##0.00&quot;mm&quot;_);_(&quot;$&quot;#,##0.00&quot;mm&quot;\);_(* &quot;-&quot;??_);_(@_)"/>
  </numFmts>
  <fonts count="10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color rgb="FF0000FF"/>
      <name val="Calibri"/>
      <family val="2"/>
      <scheme val="minor"/>
    </font>
    <font>
      <b/>
      <sz val="14"/>
      <name val="Calibri Light"/>
      <family val="1"/>
      <scheme val="major"/>
    </font>
    <font>
      <b/>
      <sz val="14"/>
      <color rgb="FF0000FF"/>
      <name val="Calibri Light"/>
      <family val="1"/>
      <scheme val="major"/>
    </font>
    <font>
      <b/>
      <i/>
      <u/>
      <sz val="11"/>
      <color rgb="FF0000FF"/>
      <name val="Calibri"/>
      <family val="2"/>
      <scheme val="minor"/>
    </font>
    <font>
      <b/>
      <sz val="16"/>
      <color theme="0"/>
      <name val="Garamond"/>
      <family val="1"/>
    </font>
    <font>
      <b/>
      <u/>
      <sz val="16"/>
      <color theme="0"/>
      <name val="Garamond"/>
      <family val="1"/>
    </font>
    <font>
      <sz val="11"/>
      <color theme="0"/>
      <name val="Garamond"/>
      <family val="1"/>
    </font>
    <font>
      <b/>
      <i/>
      <sz val="11"/>
      <color theme="0"/>
      <name val="Garamond"/>
      <family val="1"/>
    </font>
    <font>
      <b/>
      <sz val="16"/>
      <color rgb="FFFF0000"/>
      <name val="Garamond"/>
      <family val="1"/>
    </font>
    <font>
      <sz val="9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4"/>
      <color rgb="FF0000CC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8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u/>
      <sz val="14"/>
      <color rgb="FF000000"/>
      <name val="Calibri Light"/>
      <family val="1"/>
      <scheme val="major"/>
    </font>
    <font>
      <i/>
      <sz val="14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1"/>
      <color rgb="FFFF0000"/>
      <name val="Calibri Light"/>
      <family val="1"/>
      <scheme val="major"/>
    </font>
    <font>
      <i/>
      <sz val="14"/>
      <color theme="1"/>
      <name val="Garamond"/>
      <family val="1"/>
    </font>
    <font>
      <i/>
      <vertAlign val="superscript"/>
      <sz val="14"/>
      <color theme="1"/>
      <name val="Garamond"/>
      <family val="1"/>
    </font>
    <font>
      <i/>
      <sz val="14"/>
      <color rgb="FFFF0000"/>
      <name val="Calibri Light"/>
      <family val="1"/>
      <scheme val="major"/>
    </font>
    <font>
      <b/>
      <u/>
      <sz val="14"/>
      <name val="Calibri Light"/>
      <family val="1"/>
      <scheme val="major"/>
    </font>
    <font>
      <b/>
      <u/>
      <sz val="14"/>
      <color theme="1"/>
      <name val="Calibri Light"/>
      <family val="1"/>
      <scheme val="major"/>
    </font>
    <font>
      <sz val="14"/>
      <color rgb="FF008000"/>
      <name val="Calibri Light"/>
      <family val="1"/>
      <scheme val="major"/>
    </font>
    <font>
      <sz val="14"/>
      <color rgb="FF0000FF"/>
      <name val="Calibri Light"/>
      <family val="1"/>
      <scheme val="major"/>
    </font>
    <font>
      <sz val="11"/>
      <name val="Calibri"/>
      <family val="2"/>
    </font>
    <font>
      <vertAlign val="superscript"/>
      <sz val="14"/>
      <color theme="1"/>
      <name val="Calibri Light"/>
      <family val="1"/>
      <scheme val="major"/>
    </font>
    <font>
      <b/>
      <sz val="14"/>
      <color theme="1"/>
      <name val="Garamond"/>
      <family val="1"/>
    </font>
    <font>
      <b/>
      <vertAlign val="superscript"/>
      <sz val="14"/>
      <color theme="1"/>
      <name val="Garamond"/>
      <family val="1"/>
    </font>
    <font>
      <b/>
      <sz val="14"/>
      <color theme="1"/>
      <name val="Calibri Light"/>
      <family val="1"/>
      <scheme val="major"/>
    </font>
    <font>
      <sz val="10"/>
      <name val="Calibri Light"/>
      <family val="1"/>
      <scheme val="major"/>
    </font>
    <font>
      <b/>
      <i/>
      <u/>
      <sz val="11"/>
      <name val="Calibri Light"/>
      <family val="1"/>
      <scheme val="major"/>
    </font>
    <font>
      <sz val="11"/>
      <color rgb="FF008000"/>
      <name val="Calibri Light"/>
      <family val="1"/>
      <scheme val="major"/>
    </font>
    <font>
      <sz val="10"/>
      <color rgb="FF000000"/>
      <name val="Calibri Light"/>
      <family val="1"/>
      <scheme val="major"/>
    </font>
    <font>
      <b/>
      <sz val="11"/>
      <color rgb="FFFF0000"/>
      <name val="Garamond"/>
      <family val="1"/>
    </font>
    <font>
      <sz val="10"/>
      <color rgb="FFFF0000"/>
      <name val="Calibri Light"/>
      <family val="1"/>
      <scheme val="major"/>
    </font>
    <font>
      <sz val="11"/>
      <color theme="1"/>
      <name val="Garamond"/>
      <family val="1"/>
    </font>
    <font>
      <i/>
      <sz val="14"/>
      <name val="Calibri Light"/>
      <family val="1"/>
      <scheme val="major"/>
    </font>
    <font>
      <b/>
      <i/>
      <sz val="11"/>
      <color rgb="FF000000"/>
      <name val="Calibri"/>
      <family val="2"/>
      <scheme val="minor"/>
    </font>
    <font>
      <b/>
      <u/>
      <sz val="14"/>
      <color rgb="FFFFFFFF"/>
      <name val="Calibri Light"/>
      <family val="1"/>
      <scheme val="major"/>
    </font>
    <font>
      <sz val="10"/>
      <color rgb="FFFFC000"/>
      <name val="Calibri Light"/>
      <family val="1"/>
      <scheme val="major"/>
    </font>
    <font>
      <b/>
      <sz val="14"/>
      <color theme="2"/>
      <name val="Calibri Light"/>
      <family val="1"/>
      <scheme val="major"/>
    </font>
    <font>
      <b/>
      <u/>
      <sz val="14"/>
      <color theme="2"/>
      <name val="Calibri Light"/>
      <family val="1"/>
      <scheme val="major"/>
    </font>
    <font>
      <i/>
      <u/>
      <sz val="9"/>
      <color rgb="FFFF0000"/>
      <name val="Calibri Light"/>
      <family val="1"/>
      <scheme val="major"/>
    </font>
    <font>
      <sz val="14"/>
      <color rgb="FF000000"/>
      <name val="Calibri Light"/>
      <family val="1"/>
      <scheme val="major"/>
    </font>
    <font>
      <sz val="14"/>
      <name val="Calibri Light"/>
      <family val="1"/>
      <scheme val="major"/>
    </font>
    <font>
      <b/>
      <i/>
      <u/>
      <sz val="14"/>
      <color theme="1"/>
      <name val="Calibri Light"/>
      <family val="1"/>
      <scheme val="major"/>
    </font>
    <font>
      <sz val="14"/>
      <color theme="1"/>
      <name val="Garamond"/>
      <family val="1"/>
    </font>
    <font>
      <sz val="14"/>
      <color rgb="FF008000"/>
      <name val="Garamond"/>
      <family val="1"/>
    </font>
    <font>
      <b/>
      <sz val="14"/>
      <color rgb="FFFF0000"/>
      <name val="Calibri Light"/>
      <family val="1"/>
      <scheme val="major"/>
    </font>
    <font>
      <i/>
      <u/>
      <sz val="14"/>
      <color theme="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i/>
      <u/>
      <sz val="10"/>
      <color rgb="FF000000"/>
      <name val="Calibri Light"/>
      <family val="1"/>
      <scheme val="major"/>
    </font>
    <font>
      <b/>
      <vertAlign val="superscript"/>
      <sz val="14"/>
      <color theme="1"/>
      <name val="Calibri Light"/>
      <family val="1"/>
      <scheme val="major"/>
    </font>
    <font>
      <b/>
      <i/>
      <u/>
      <sz val="14"/>
      <color rgb="FFFF0000"/>
      <name val="Calibri Light"/>
      <family val="1"/>
      <scheme val="major"/>
    </font>
    <font>
      <u/>
      <sz val="12"/>
      <color theme="1"/>
      <name val="Calibri Light"/>
      <family val="1"/>
      <scheme val="major"/>
    </font>
    <font>
      <b/>
      <i/>
      <sz val="14"/>
      <color rgb="FFFF0000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0"/>
      <color rgb="FF111111"/>
      <name val="Calibri Light"/>
      <family val="1"/>
      <scheme val="major"/>
    </font>
    <font>
      <sz val="9"/>
      <color rgb="FF0000FF"/>
      <name val="Calibri Light"/>
      <family val="1"/>
      <scheme val="major"/>
    </font>
    <font>
      <i/>
      <sz val="14"/>
      <color rgb="FF111111"/>
      <name val="Calibri Light"/>
      <family val="1"/>
      <scheme val="major"/>
    </font>
    <font>
      <i/>
      <sz val="10"/>
      <color rgb="FFFF0000"/>
      <name val="Calibri Light"/>
      <family val="1"/>
      <scheme val="major"/>
    </font>
    <font>
      <sz val="8"/>
      <color theme="1"/>
      <name val="Calibri Light"/>
      <family val="1"/>
      <scheme val="major"/>
    </font>
    <font>
      <sz val="8"/>
      <color theme="1"/>
      <name val="Calibri"/>
      <family val="2"/>
      <scheme val="minor"/>
    </font>
    <font>
      <sz val="8"/>
      <name val="Calibri Light"/>
      <family val="1"/>
      <scheme val="major"/>
    </font>
    <font>
      <sz val="8"/>
      <name val="Calibri"/>
      <family val="2"/>
      <scheme val="minor"/>
    </font>
    <font>
      <sz val="8"/>
      <color rgb="FF0070C0"/>
      <name val="Calibri Light"/>
      <family val="1"/>
      <scheme val="major"/>
    </font>
    <font>
      <sz val="8"/>
      <color rgb="FF0070C0"/>
      <name val="Calibri"/>
      <family val="2"/>
      <scheme val="minor"/>
    </font>
    <font>
      <b/>
      <sz val="8"/>
      <name val="Cambria"/>
      <family val="1"/>
    </font>
    <font>
      <b/>
      <sz val="8"/>
      <name val="Calibri Light"/>
      <family val="1"/>
      <scheme val="major"/>
    </font>
    <font>
      <sz val="8"/>
      <color rgb="FF0000CC"/>
      <name val="Calibri Light"/>
      <family val="1"/>
      <scheme val="major"/>
    </font>
    <font>
      <sz val="8"/>
      <color rgb="FF0000CC"/>
      <name val="Calibri"/>
      <family val="2"/>
      <scheme val="minor"/>
    </font>
    <font>
      <sz val="11"/>
      <color rgb="FF0000FF"/>
      <name val="Calibri Light"/>
      <family val="1"/>
      <scheme val="major"/>
    </font>
    <font>
      <sz val="8"/>
      <color rgb="FF0000CC"/>
      <name val="Calibri"/>
      <family val="2"/>
    </font>
    <font>
      <sz val="11"/>
      <color rgb="FF111111"/>
      <name val="Calibri"/>
      <family val="2"/>
      <scheme val="minor"/>
    </font>
    <font>
      <sz val="13"/>
      <color theme="1"/>
      <name val="Calibri Light"/>
      <family val="1"/>
      <scheme val="major"/>
    </font>
    <font>
      <u/>
      <sz val="14"/>
      <name val="Calibri Light"/>
      <family val="1"/>
      <scheme val="major"/>
    </font>
    <font>
      <sz val="8"/>
      <color rgb="FF0000FF"/>
      <name val="Calibri"/>
      <family val="2"/>
      <scheme val="minor"/>
    </font>
    <font>
      <sz val="11"/>
      <color rgb="FF0000CC"/>
      <name val="Calibri Light"/>
      <family val="1"/>
      <scheme val="major"/>
    </font>
    <font>
      <sz val="11"/>
      <color rgb="FF0000CC"/>
      <name val="Calibri"/>
      <family val="2"/>
      <scheme val="minor"/>
    </font>
    <font>
      <sz val="8"/>
      <color rgb="FF0000FF"/>
      <name val="Cambria"/>
      <family val="1"/>
    </font>
    <font>
      <sz val="8"/>
      <color rgb="FF00B050"/>
      <name val="Cambria"/>
      <family val="1"/>
    </font>
    <font>
      <b/>
      <sz val="8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3"/>
      <color theme="1"/>
      <name val="Calibri Light"/>
      <family val="1"/>
      <scheme val="major"/>
    </font>
    <font>
      <sz val="10"/>
      <name val="Calibri"/>
      <family val="2"/>
      <scheme val="minor"/>
    </font>
    <font>
      <sz val="10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FF0000"/>
      <name val="Calibri Light"/>
      <family val="1"/>
      <scheme val="major"/>
    </font>
    <font>
      <i/>
      <sz val="14"/>
      <color rgb="FF0000FF"/>
      <name val="Calibri Light"/>
      <family val="1"/>
      <scheme val="major"/>
    </font>
    <font>
      <b/>
      <sz val="10"/>
      <name val="Calibri Light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8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rgb="FF000000"/>
      </left>
      <right/>
      <top/>
      <bottom/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 style="thin">
        <color rgb="FF000000"/>
      </left>
      <right/>
      <top style="dotted">
        <color rgb="FF000000"/>
      </top>
      <bottom style="dotted">
        <color indexed="64"/>
      </bottom>
      <diagonal/>
    </border>
    <border>
      <left/>
      <right style="thin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rgb="FF000000"/>
      </right>
      <top/>
      <bottom style="dotted">
        <color indexed="64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dotted">
        <color indexed="64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 style="dotted">
        <color rgb="FF000000"/>
      </bottom>
      <diagonal/>
    </border>
    <border>
      <left/>
      <right style="thin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</cellStyleXfs>
  <cellXfs count="341">
    <xf numFmtId="0" fontId="0" fillId="0" borderId="0" xfId="0"/>
    <xf numFmtId="0" fontId="4" fillId="0" borderId="0" xfId="0" applyFont="1"/>
    <xf numFmtId="164" fontId="5" fillId="0" borderId="0" xfId="0" applyNumberFormat="1" applyFont="1" applyAlignment="1">
      <alignment horizontal="left"/>
    </xf>
    <xf numFmtId="0" fontId="6" fillId="0" borderId="0" xfId="0" applyFont="1"/>
    <xf numFmtId="14" fontId="7" fillId="2" borderId="0" xfId="0" applyNumberFormat="1" applyFont="1" applyFill="1" applyAlignment="1">
      <alignment horizontal="center"/>
    </xf>
    <xf numFmtId="0" fontId="5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/>
    <xf numFmtId="0" fontId="8" fillId="0" borderId="0" xfId="0" applyFont="1"/>
    <xf numFmtId="0" fontId="2" fillId="0" borderId="0" xfId="0" applyFont="1" applyAlignment="1">
      <alignment horizontal="left" indent="2"/>
    </xf>
    <xf numFmtId="164" fontId="0" fillId="0" borderId="0" xfId="0" applyNumberFormat="1"/>
    <xf numFmtId="164" fontId="4" fillId="0" borderId="0" xfId="0" applyNumberFormat="1" applyFont="1"/>
    <xf numFmtId="0" fontId="9" fillId="0" borderId="0" xfId="0" applyFont="1"/>
    <xf numFmtId="0" fontId="10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right"/>
    </xf>
    <xf numFmtId="0" fontId="9" fillId="3" borderId="0" xfId="0" applyFont="1" applyFill="1"/>
    <xf numFmtId="0" fontId="11" fillId="3" borderId="0" xfId="0" applyFont="1" applyFill="1"/>
    <xf numFmtId="0" fontId="12" fillId="3" borderId="0" xfId="0" applyFont="1" applyFill="1"/>
    <xf numFmtId="14" fontId="9" fillId="3" borderId="0" xfId="0" applyNumberFormat="1" applyFont="1" applyFill="1"/>
    <xf numFmtId="0" fontId="13" fillId="3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  <xf numFmtId="0" fontId="17" fillId="0" borderId="0" xfId="0" applyFont="1"/>
    <xf numFmtId="164" fontId="18" fillId="0" borderId="0" xfId="0" applyNumberFormat="1" applyFont="1" applyAlignment="1">
      <alignment horizontal="right" vertical="center"/>
    </xf>
    <xf numFmtId="0" fontId="19" fillId="0" borderId="0" xfId="0" applyFont="1"/>
    <xf numFmtId="0" fontId="20" fillId="0" borderId="0" xfId="0" applyFont="1"/>
    <xf numFmtId="165" fontId="0" fillId="0" borderId="0" xfId="0" applyNumberFormat="1"/>
    <xf numFmtId="0" fontId="21" fillId="0" borderId="0" xfId="0" applyFont="1" applyAlignment="1">
      <alignment horizontal="centerContinuous"/>
    </xf>
    <xf numFmtId="0" fontId="21" fillId="0" borderId="1" xfId="0" applyFont="1" applyBorder="1" applyAlignment="1">
      <alignment horizontal="centerContinuous"/>
    </xf>
    <xf numFmtId="0" fontId="22" fillId="0" borderId="0" xfId="0" applyFont="1" applyAlignment="1">
      <alignment horizontal="left"/>
    </xf>
    <xf numFmtId="14" fontId="23" fillId="0" borderId="0" xfId="0" applyNumberFormat="1" applyFont="1"/>
    <xf numFmtId="0" fontId="23" fillId="0" borderId="0" xfId="0" applyFont="1"/>
    <xf numFmtId="0" fontId="6" fillId="0" borderId="2" xfId="0" applyFont="1" applyBorder="1"/>
    <xf numFmtId="0" fontId="7" fillId="0" borderId="0" xfId="0" applyFont="1" applyAlignment="1">
      <alignment horizontal="left"/>
    </xf>
    <xf numFmtId="0" fontId="17" fillId="0" borderId="5" xfId="0" applyFont="1" applyBorder="1"/>
    <xf numFmtId="0" fontId="17" fillId="0" borderId="6" xfId="0" applyFont="1" applyBorder="1"/>
    <xf numFmtId="166" fontId="17" fillId="0" borderId="7" xfId="0" applyNumberFormat="1" applyFont="1" applyBorder="1" applyAlignment="1">
      <alignment horizontal="left" indent="1"/>
    </xf>
    <xf numFmtId="0" fontId="24" fillId="0" borderId="0" xfId="0" applyFont="1" applyAlignment="1">
      <alignment horizontal="right" vertical="center" indent="1"/>
    </xf>
    <xf numFmtId="167" fontId="25" fillId="0" borderId="2" xfId="0" applyNumberFormat="1" applyFont="1" applyBorder="1" applyAlignment="1">
      <alignment horizontal="left"/>
    </xf>
    <xf numFmtId="0" fontId="21" fillId="0" borderId="0" xfId="0" applyFont="1"/>
    <xf numFmtId="165" fontId="21" fillId="0" borderId="4" xfId="0" applyNumberFormat="1" applyFont="1" applyBorder="1"/>
    <xf numFmtId="0" fontId="27" fillId="0" borderId="0" xfId="0" applyFont="1" applyAlignment="1">
      <alignment horizontal="center"/>
    </xf>
    <xf numFmtId="0" fontId="6" fillId="0" borderId="8" xfId="0" applyFont="1" applyBorder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9" xfId="0" applyFont="1" applyBorder="1" applyAlignment="1">
      <alignment horizontal="center"/>
    </xf>
    <xf numFmtId="0" fontId="17" fillId="0" borderId="10" xfId="0" applyFont="1" applyBorder="1"/>
    <xf numFmtId="0" fontId="21" fillId="0" borderId="0" xfId="0" applyFont="1" applyAlignment="1">
      <alignment horizontal="center"/>
    </xf>
    <xf numFmtId="166" fontId="17" fillId="0" borderId="11" xfId="0" applyNumberFormat="1" applyFont="1" applyBorder="1" applyAlignment="1">
      <alignment horizontal="left" indent="1"/>
    </xf>
    <xf numFmtId="167" fontId="25" fillId="0" borderId="8" xfId="0" applyNumberFormat="1" applyFont="1" applyBorder="1" applyAlignment="1">
      <alignment horizontal="left" indent="1"/>
    </xf>
    <xf numFmtId="165" fontId="21" fillId="0" borderId="9" xfId="0" applyNumberFormat="1" applyFont="1" applyBorder="1"/>
    <xf numFmtId="0" fontId="30" fillId="0" borderId="8" xfId="0" applyFont="1" applyBorder="1"/>
    <xf numFmtId="168" fontId="30" fillId="0" borderId="0" xfId="0" applyNumberFormat="1" applyFont="1" applyAlignment="1">
      <alignment horizontal="right"/>
    </xf>
    <xf numFmtId="14" fontId="31" fillId="0" borderId="9" xfId="0" applyNumberFormat="1" applyFont="1" applyBorder="1"/>
    <xf numFmtId="14" fontId="31" fillId="0" borderId="0" xfId="0" applyNumberFormat="1" applyFont="1"/>
    <xf numFmtId="169" fontId="23" fillId="0" borderId="0" xfId="0" applyNumberFormat="1" applyFont="1"/>
    <xf numFmtId="0" fontId="30" fillId="0" borderId="12" xfId="0" applyFont="1" applyBorder="1"/>
    <xf numFmtId="168" fontId="30" fillId="0" borderId="13" xfId="0" applyNumberFormat="1" applyFont="1" applyBorder="1" applyAlignment="1">
      <alignment horizontal="right"/>
    </xf>
    <xf numFmtId="14" fontId="31" fillId="0" borderId="14" xfId="0" applyNumberFormat="1" applyFont="1" applyBorder="1"/>
    <xf numFmtId="166" fontId="17" fillId="0" borderId="11" xfId="2" applyNumberFormat="1" applyFont="1" applyFill="1" applyBorder="1" applyAlignment="1">
      <alignment horizontal="left" indent="1"/>
    </xf>
    <xf numFmtId="0" fontId="17" fillId="0" borderId="0" xfId="0" applyFont="1" applyAlignment="1">
      <alignment horizontal="right" vertical="center"/>
    </xf>
    <xf numFmtId="167" fontId="25" fillId="0" borderId="15" xfId="0" applyNumberFormat="1" applyFont="1" applyBorder="1" applyAlignment="1">
      <alignment horizontal="left"/>
    </xf>
    <xf numFmtId="0" fontId="21" fillId="0" borderId="1" xfId="0" applyFont="1" applyBorder="1"/>
    <xf numFmtId="165" fontId="21" fillId="0" borderId="16" xfId="0" applyNumberFormat="1" applyFont="1" applyBorder="1"/>
    <xf numFmtId="14" fontId="31" fillId="0" borderId="17" xfId="0" applyNumberFormat="1" applyFont="1" applyBorder="1"/>
    <xf numFmtId="170" fontId="31" fillId="0" borderId="0" xfId="0" applyNumberFormat="1" applyFont="1" applyAlignment="1">
      <alignment horizontal="center"/>
    </xf>
    <xf numFmtId="165" fontId="17" fillId="0" borderId="11" xfId="0" applyNumberFormat="1" applyFont="1" applyBorder="1"/>
    <xf numFmtId="0" fontId="34" fillId="0" borderId="0" xfId="0" applyFont="1"/>
    <xf numFmtId="165" fontId="36" fillId="4" borderId="0" xfId="0" applyNumberFormat="1" applyFont="1" applyFill="1"/>
    <xf numFmtId="0" fontId="37" fillId="0" borderId="0" xfId="0" applyFont="1" applyAlignment="1">
      <alignment horizontal="left"/>
    </xf>
    <xf numFmtId="164" fontId="37" fillId="0" borderId="0" xfId="0" applyNumberFormat="1" applyFont="1"/>
    <xf numFmtId="0" fontId="38" fillId="0" borderId="18" xfId="0" applyFont="1" applyBorder="1" applyAlignment="1">
      <alignment horizontal="center"/>
    </xf>
    <xf numFmtId="169" fontId="31" fillId="0" borderId="0" xfId="3" applyNumberFormat="1" applyFont="1" applyFill="1" applyBorder="1"/>
    <xf numFmtId="164" fontId="37" fillId="0" borderId="0" xfId="3" applyNumberFormat="1" applyFont="1" applyFill="1" applyBorder="1"/>
    <xf numFmtId="2" fontId="39" fillId="0" borderId="19" xfId="0" applyNumberFormat="1" applyFont="1" applyBorder="1" applyAlignment="1">
      <alignment horizontal="center"/>
    </xf>
    <xf numFmtId="169" fontId="30" fillId="0" borderId="0" xfId="4" applyNumberFormat="1" applyFont="1" applyFill="1" applyBorder="1" applyAlignment="1"/>
    <xf numFmtId="169" fontId="31" fillId="0" borderId="9" xfId="3" applyNumberFormat="1" applyFont="1" applyFill="1" applyBorder="1"/>
    <xf numFmtId="0" fontId="23" fillId="0" borderId="0" xfId="0" applyFont="1" applyAlignment="1">
      <alignment horizontal="left"/>
    </xf>
    <xf numFmtId="164" fontId="23" fillId="0" borderId="0" xfId="0" applyNumberFormat="1" applyFont="1"/>
    <xf numFmtId="0" fontId="14" fillId="0" borderId="0" xfId="0" quotePrefix="1" applyFont="1" applyAlignment="1">
      <alignment horizontal="right"/>
    </xf>
    <xf numFmtId="0" fontId="30" fillId="0" borderId="20" xfId="0" applyFont="1" applyBorder="1"/>
    <xf numFmtId="169" fontId="30" fillId="0" borderId="21" xfId="4" applyNumberFormat="1" applyFont="1" applyFill="1" applyBorder="1" applyAlignment="1"/>
    <xf numFmtId="169" fontId="31" fillId="0" borderId="22" xfId="3" applyNumberFormat="1" applyFont="1" applyFill="1" applyBorder="1"/>
    <xf numFmtId="171" fontId="17" fillId="0" borderId="11" xfId="4" applyNumberFormat="1" applyFont="1" applyFill="1" applyBorder="1" applyAlignment="1">
      <alignment horizontal="right" indent="1"/>
    </xf>
    <xf numFmtId="164" fontId="40" fillId="0" borderId="0" xfId="3" applyNumberFormat="1" applyFont="1" applyFill="1" applyBorder="1" applyAlignment="1"/>
    <xf numFmtId="2" fontId="39" fillId="0" borderId="23" xfId="0" applyNumberFormat="1" applyFont="1" applyBorder="1" applyAlignment="1">
      <alignment horizontal="center"/>
    </xf>
    <xf numFmtId="43" fontId="31" fillId="0" borderId="0" xfId="3" applyFont="1" applyFill="1" applyBorder="1"/>
    <xf numFmtId="0" fontId="17" fillId="0" borderId="24" xfId="0" applyFont="1" applyBorder="1"/>
    <xf numFmtId="0" fontId="17" fillId="0" borderId="25" xfId="0" applyFont="1" applyBorder="1"/>
    <xf numFmtId="172" fontId="17" fillId="0" borderId="26" xfId="4" applyNumberFormat="1" applyFont="1" applyFill="1" applyBorder="1" applyAlignment="1">
      <alignment horizontal="right" indent="1"/>
    </xf>
    <xf numFmtId="0" fontId="41" fillId="0" borderId="0" xfId="0" applyFont="1" applyAlignment="1">
      <alignment horizontal="center"/>
    </xf>
    <xf numFmtId="10" fontId="30" fillId="0" borderId="21" xfId="2" applyNumberFormat="1" applyFont="1" applyFill="1" applyBorder="1"/>
    <xf numFmtId="10" fontId="31" fillId="0" borderId="22" xfId="0" applyNumberFormat="1" applyFont="1" applyBorder="1"/>
    <xf numFmtId="10" fontId="31" fillId="0" borderId="0" xfId="0" applyNumberFormat="1" applyFont="1"/>
    <xf numFmtId="170" fontId="17" fillId="0" borderId="0" xfId="0" applyNumberFormat="1" applyFont="1"/>
    <xf numFmtId="165" fontId="17" fillId="0" borderId="0" xfId="0" applyNumberFormat="1" applyFont="1"/>
    <xf numFmtId="173" fontId="17" fillId="0" borderId="0" xfId="0" applyNumberFormat="1" applyFont="1"/>
    <xf numFmtId="164" fontId="42" fillId="0" borderId="0" xfId="4" applyNumberFormat="1" applyFont="1" applyFill="1" applyBorder="1"/>
    <xf numFmtId="164" fontId="37" fillId="0" borderId="0" xfId="4" applyNumberFormat="1" applyFont="1" applyFill="1" applyBorder="1"/>
    <xf numFmtId="0" fontId="43" fillId="0" borderId="0" xfId="0" applyFont="1" applyAlignment="1">
      <alignment horizontal="center"/>
    </xf>
    <xf numFmtId="0" fontId="44" fillId="0" borderId="20" xfId="0" applyFont="1" applyBorder="1"/>
    <xf numFmtId="3" fontId="30" fillId="0" borderId="21" xfId="0" applyNumberFormat="1" applyFont="1" applyBorder="1"/>
    <xf numFmtId="0" fontId="45" fillId="0" borderId="0" xfId="0" applyFont="1" applyAlignment="1">
      <alignment horizontal="center"/>
    </xf>
    <xf numFmtId="10" fontId="46" fillId="0" borderId="0" xfId="0" applyNumberFormat="1" applyFont="1" applyAlignment="1">
      <alignment horizontal="right"/>
    </xf>
    <xf numFmtId="0" fontId="47" fillId="5" borderId="0" xfId="0" applyFont="1" applyFill="1" applyAlignment="1">
      <alignment horizontal="left"/>
    </xf>
    <xf numFmtId="164" fontId="42" fillId="5" borderId="0" xfId="3" applyNumberFormat="1" applyFont="1" applyFill="1" applyBorder="1"/>
    <xf numFmtId="10" fontId="30" fillId="0" borderId="21" xfId="0" applyNumberFormat="1" applyFont="1" applyBorder="1"/>
    <xf numFmtId="0" fontId="48" fillId="6" borderId="27" xfId="0" applyFont="1" applyFill="1" applyBorder="1"/>
    <xf numFmtId="174" fontId="49" fillId="6" borderId="28" xfId="0" applyNumberFormat="1" applyFont="1" applyFill="1" applyBorder="1" applyAlignment="1">
      <alignment horizontal="center"/>
    </xf>
    <xf numFmtId="174" fontId="49" fillId="6" borderId="29" xfId="0" applyNumberFormat="1" applyFont="1" applyFill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0" fontId="50" fillId="0" borderId="0" xfId="0" applyFont="1"/>
    <xf numFmtId="0" fontId="23" fillId="0" borderId="30" xfId="0" applyFont="1" applyBorder="1" applyAlignment="1">
      <alignment horizontal="left"/>
    </xf>
    <xf numFmtId="164" fontId="22" fillId="0" borderId="31" xfId="0" applyNumberFormat="1" applyFont="1" applyBorder="1"/>
    <xf numFmtId="164" fontId="22" fillId="0" borderId="32" xfId="0" applyNumberFormat="1" applyFont="1" applyBorder="1"/>
    <xf numFmtId="0" fontId="51" fillId="0" borderId="0" xfId="0" applyFont="1"/>
    <xf numFmtId="164" fontId="36" fillId="0" borderId="33" xfId="0" applyNumberFormat="1" applyFont="1" applyBorder="1" applyAlignment="1">
      <alignment horizontal="right"/>
    </xf>
    <xf numFmtId="169" fontId="23" fillId="0" borderId="0" xfId="3" applyNumberFormat="1" applyFont="1" applyFill="1" applyBorder="1"/>
    <xf numFmtId="9" fontId="31" fillId="0" borderId="22" xfId="0" applyNumberFormat="1" applyFont="1" applyBorder="1" applyAlignment="1">
      <alignment horizontal="right"/>
    </xf>
    <xf numFmtId="43" fontId="31" fillId="0" borderId="0" xfId="4" applyFont="1" applyFill="1" applyBorder="1" applyAlignment="1">
      <alignment horizontal="right"/>
    </xf>
    <xf numFmtId="9" fontId="31" fillId="0" borderId="0" xfId="0" applyNumberFormat="1" applyFont="1" applyAlignment="1">
      <alignment horizontal="right"/>
    </xf>
    <xf numFmtId="169" fontId="23" fillId="0" borderId="0" xfId="4" applyNumberFormat="1" applyFont="1" applyFill="1" applyBorder="1"/>
    <xf numFmtId="10" fontId="30" fillId="0" borderId="21" xfId="0" applyNumberFormat="1" applyFont="1" applyBorder="1" applyAlignment="1">
      <alignment horizontal="right"/>
    </xf>
    <xf numFmtId="0" fontId="31" fillId="0" borderId="22" xfId="0" applyFont="1" applyBorder="1" applyAlignment="1">
      <alignment horizontal="right"/>
    </xf>
    <xf numFmtId="176" fontId="19" fillId="0" borderId="0" xfId="0" applyNumberFormat="1" applyFont="1"/>
    <xf numFmtId="0" fontId="31" fillId="0" borderId="0" xfId="0" applyFont="1" applyAlignment="1">
      <alignment horizontal="right"/>
    </xf>
    <xf numFmtId="0" fontId="47" fillId="0" borderId="0" xfId="0" applyFont="1"/>
    <xf numFmtId="169" fontId="47" fillId="0" borderId="0" xfId="0" applyNumberFormat="1" applyFont="1"/>
    <xf numFmtId="169" fontId="37" fillId="0" borderId="0" xfId="0" applyNumberFormat="1" applyFont="1"/>
    <xf numFmtId="0" fontId="17" fillId="0" borderId="33" xfId="0" applyFont="1" applyBorder="1"/>
    <xf numFmtId="10" fontId="30" fillId="0" borderId="13" xfId="0" applyNumberFormat="1" applyFont="1" applyBorder="1" applyAlignment="1">
      <alignment horizontal="right"/>
    </xf>
    <xf numFmtId="0" fontId="17" fillId="0" borderId="14" xfId="0" applyFont="1" applyBorder="1" applyAlignment="1">
      <alignment horizontal="center"/>
    </xf>
    <xf numFmtId="173" fontId="17" fillId="0" borderId="0" xfId="0" applyNumberFormat="1" applyFont="1" applyAlignment="1">
      <alignment horizontal="right"/>
    </xf>
    <xf numFmtId="0" fontId="22" fillId="0" borderId="0" xfId="0" applyFont="1"/>
    <xf numFmtId="0" fontId="17" fillId="0" borderId="21" xfId="0" applyFont="1" applyBorder="1"/>
    <xf numFmtId="10" fontId="31" fillId="0" borderId="21" xfId="0" applyNumberFormat="1" applyFont="1" applyBorder="1" applyAlignment="1">
      <alignment horizontal="right"/>
    </xf>
    <xf numFmtId="0" fontId="17" fillId="0" borderId="22" xfId="0" applyFont="1" applyBorder="1"/>
    <xf numFmtId="0" fontId="17" fillId="0" borderId="0" xfId="0" applyFont="1" applyAlignment="1">
      <alignment horizontal="left" indent="1"/>
    </xf>
    <xf numFmtId="173" fontId="36" fillId="0" borderId="33" xfId="0" applyNumberFormat="1" applyFont="1" applyBorder="1" applyAlignment="1">
      <alignment horizontal="right"/>
    </xf>
    <xf numFmtId="169" fontId="19" fillId="0" borderId="0" xfId="0" applyNumberFormat="1" applyFont="1"/>
    <xf numFmtId="0" fontId="22" fillId="0" borderId="30" xfId="0" applyFont="1" applyBorder="1"/>
    <xf numFmtId="169" fontId="23" fillId="0" borderId="31" xfId="0" applyNumberFormat="1" applyFont="1" applyBorder="1"/>
    <xf numFmtId="169" fontId="23" fillId="0" borderId="32" xfId="0" applyNumberFormat="1" applyFont="1" applyBorder="1"/>
    <xf numFmtId="0" fontId="30" fillId="0" borderId="12" xfId="0" applyFont="1" applyBorder="1" applyAlignment="1">
      <alignment horizontal="left"/>
    </xf>
    <xf numFmtId="177" fontId="54" fillId="0" borderId="34" xfId="0" applyNumberFormat="1" applyFont="1" applyBorder="1" applyAlignment="1">
      <alignment horizontal="right" indent="1"/>
    </xf>
    <xf numFmtId="177" fontId="55" fillId="0" borderId="13" xfId="0" applyNumberFormat="1" applyFont="1" applyBorder="1" applyAlignment="1">
      <alignment horizontal="right" indent="1"/>
    </xf>
    <xf numFmtId="0" fontId="30" fillId="0" borderId="35" xfId="0" applyFont="1" applyBorder="1" applyAlignment="1">
      <alignment horizontal="left"/>
    </xf>
    <xf numFmtId="177" fontId="55" fillId="0" borderId="34" xfId="0" applyNumberFormat="1" applyFont="1" applyBorder="1" applyAlignment="1">
      <alignment horizontal="right" indent="1"/>
    </xf>
    <xf numFmtId="170" fontId="31" fillId="0" borderId="36" xfId="0" applyNumberFormat="1" applyFont="1" applyBorder="1"/>
    <xf numFmtId="0" fontId="56" fillId="0" borderId="0" xfId="0" applyFont="1"/>
    <xf numFmtId="169" fontId="23" fillId="0" borderId="0" xfId="3" applyNumberFormat="1" applyFont="1" applyFill="1"/>
    <xf numFmtId="169" fontId="17" fillId="0" borderId="37" xfId="3" applyNumberFormat="1" applyFont="1" applyFill="1" applyBorder="1" applyAlignment="1"/>
    <xf numFmtId="169" fontId="30" fillId="0" borderId="37" xfId="4" applyNumberFormat="1" applyFont="1" applyFill="1" applyBorder="1" applyAlignment="1"/>
    <xf numFmtId="169" fontId="31" fillId="0" borderId="38" xfId="3" applyNumberFormat="1" applyFont="1" applyFill="1" applyBorder="1"/>
    <xf numFmtId="0" fontId="36" fillId="0" borderId="3" xfId="0" applyFont="1" applyBorder="1"/>
    <xf numFmtId="173" fontId="36" fillId="0" borderId="3" xfId="0" applyNumberFormat="1" applyFont="1" applyBorder="1" applyAlignment="1">
      <alignment horizontal="right"/>
    </xf>
    <xf numFmtId="164" fontId="36" fillId="0" borderId="39" xfId="0" applyNumberFormat="1" applyFont="1" applyBorder="1" applyAlignment="1">
      <alignment horizontal="right"/>
    </xf>
    <xf numFmtId="2" fontId="39" fillId="0" borderId="40" xfId="0" applyNumberFormat="1" applyFont="1" applyBorder="1" applyAlignment="1">
      <alignment horizontal="center"/>
    </xf>
    <xf numFmtId="0" fontId="30" fillId="0" borderId="41" xfId="0" applyFont="1" applyBorder="1" applyAlignment="1">
      <alignment horizontal="left"/>
    </xf>
    <xf numFmtId="177" fontId="54" fillId="0" borderId="1" xfId="0" applyNumberFormat="1" applyFont="1" applyBorder="1" applyAlignment="1">
      <alignment horizontal="right" indent="1"/>
    </xf>
    <xf numFmtId="177" fontId="55" fillId="0" borderId="1" xfId="0" applyNumberFormat="1" applyFont="1" applyBorder="1" applyAlignment="1">
      <alignment horizontal="right" indent="1"/>
    </xf>
    <xf numFmtId="170" fontId="31" fillId="0" borderId="16" xfId="0" applyNumberFormat="1" applyFont="1" applyBorder="1"/>
    <xf numFmtId="164" fontId="17" fillId="0" borderId="0" xfId="0" applyNumberFormat="1" applyFont="1"/>
    <xf numFmtId="0" fontId="57" fillId="0" borderId="0" xfId="0" applyFont="1"/>
    <xf numFmtId="0" fontId="21" fillId="0" borderId="0" xfId="0" applyFont="1" applyAlignment="1">
      <alignment horizontal="left" indent="1"/>
    </xf>
    <xf numFmtId="173" fontId="21" fillId="0" borderId="0" xfId="0" applyNumberFormat="1" applyFont="1" applyAlignment="1">
      <alignment horizontal="right"/>
    </xf>
    <xf numFmtId="173" fontId="21" fillId="0" borderId="33" xfId="0" applyNumberFormat="1" applyFont="1" applyBorder="1" applyAlignment="1">
      <alignment horizontal="right"/>
    </xf>
    <xf numFmtId="0" fontId="52" fillId="0" borderId="2" xfId="0" applyFont="1" applyBorder="1"/>
    <xf numFmtId="0" fontId="58" fillId="0" borderId="3" xfId="0" applyFont="1" applyBorder="1"/>
    <xf numFmtId="10" fontId="30" fillId="0" borderId="4" xfId="0" applyNumberFormat="1" applyFont="1" applyBorder="1" applyAlignment="1">
      <alignment horizontal="right"/>
    </xf>
    <xf numFmtId="0" fontId="52" fillId="0" borderId="42" xfId="0" applyFont="1" applyBorder="1"/>
    <xf numFmtId="0" fontId="58" fillId="0" borderId="43" xfId="0" applyFont="1" applyBorder="1"/>
    <xf numFmtId="10" fontId="30" fillId="0" borderId="44" xfId="0" applyNumberFormat="1" applyFont="1" applyBorder="1" applyAlignment="1">
      <alignment horizontal="right"/>
    </xf>
    <xf numFmtId="0" fontId="52" fillId="0" borderId="45" xfId="0" applyFont="1" applyBorder="1"/>
    <xf numFmtId="0" fontId="58" fillId="0" borderId="46" xfId="0" applyFont="1" applyBorder="1"/>
    <xf numFmtId="10" fontId="30" fillId="0" borderId="17" xfId="0" applyNumberFormat="1" applyFont="1" applyBorder="1" applyAlignment="1">
      <alignment horizontal="right"/>
    </xf>
    <xf numFmtId="173" fontId="36" fillId="0" borderId="33" xfId="0" applyNumberFormat="1" applyFont="1" applyBorder="1"/>
    <xf numFmtId="10" fontId="23" fillId="0" borderId="0" xfId="2" applyNumberFormat="1" applyFont="1" applyBorder="1"/>
    <xf numFmtId="178" fontId="23" fillId="0" borderId="0" xfId="2" applyNumberFormat="1" applyFont="1" applyBorder="1"/>
    <xf numFmtId="0" fontId="30" fillId="0" borderId="17" xfId="0" applyFont="1" applyBorder="1" applyAlignment="1">
      <alignment horizontal="right"/>
    </xf>
    <xf numFmtId="0" fontId="59" fillId="0" borderId="0" xfId="0" applyFont="1"/>
    <xf numFmtId="9" fontId="23" fillId="0" borderId="0" xfId="2" applyFont="1" applyBorder="1"/>
    <xf numFmtId="0" fontId="58" fillId="0" borderId="21" xfId="0" applyFont="1" applyBorder="1"/>
    <xf numFmtId="10" fontId="30" fillId="0" borderId="22" xfId="0" applyNumberFormat="1" applyFont="1" applyBorder="1" applyAlignment="1">
      <alignment horizontal="right"/>
    </xf>
    <xf numFmtId="165" fontId="36" fillId="0" borderId="3" xfId="2" applyNumberFormat="1" applyFont="1" applyFill="1" applyBorder="1" applyAlignment="1">
      <alignment horizontal="right"/>
    </xf>
    <xf numFmtId="165" fontId="36" fillId="4" borderId="39" xfId="2" applyNumberFormat="1" applyFont="1" applyFill="1" applyBorder="1" applyAlignment="1">
      <alignment horizontal="right"/>
    </xf>
    <xf numFmtId="0" fontId="52" fillId="0" borderId="20" xfId="0" applyFont="1" applyBorder="1"/>
    <xf numFmtId="164" fontId="30" fillId="0" borderId="22" xfId="0" applyNumberFormat="1" applyFont="1" applyBorder="1" applyAlignment="1">
      <alignment horizontal="right"/>
    </xf>
    <xf numFmtId="0" fontId="36" fillId="0" borderId="0" xfId="0" applyFont="1"/>
    <xf numFmtId="165" fontId="36" fillId="0" borderId="0" xfId="2" applyNumberFormat="1" applyFont="1" applyFill="1" applyBorder="1" applyAlignment="1">
      <alignment horizontal="right"/>
    </xf>
    <xf numFmtId="165" fontId="36" fillId="4" borderId="0" xfId="2" applyNumberFormat="1" applyFont="1" applyFill="1" applyBorder="1" applyAlignment="1">
      <alignment horizontal="right"/>
    </xf>
    <xf numFmtId="165" fontId="21" fillId="0" borderId="0" xfId="0" applyNumberFormat="1" applyFont="1"/>
    <xf numFmtId="0" fontId="52" fillId="0" borderId="47" xfId="0" applyFont="1" applyBorder="1"/>
    <xf numFmtId="0" fontId="0" fillId="0" borderId="48" xfId="0" applyBorder="1"/>
    <xf numFmtId="0" fontId="30" fillId="0" borderId="49" xfId="0" applyFont="1" applyBorder="1" applyAlignment="1">
      <alignment horizontal="right"/>
    </xf>
    <xf numFmtId="43" fontId="0" fillId="0" borderId="0" xfId="1" applyFont="1"/>
    <xf numFmtId="165" fontId="23" fillId="0" borderId="0" xfId="0" applyNumberFormat="1" applyFont="1"/>
    <xf numFmtId="179" fontId="23" fillId="0" borderId="0" xfId="0" applyNumberFormat="1" applyFont="1"/>
    <xf numFmtId="0" fontId="61" fillId="0" borderId="0" xfId="0" applyFont="1"/>
    <xf numFmtId="180" fontId="23" fillId="0" borderId="0" xfId="0" applyNumberFormat="1" applyFont="1"/>
    <xf numFmtId="0" fontId="53" fillId="0" borderId="0" xfId="0" applyFont="1"/>
    <xf numFmtId="0" fontId="62" fillId="0" borderId="50" xfId="0" applyFont="1" applyBorder="1"/>
    <xf numFmtId="169" fontId="23" fillId="0" borderId="51" xfId="0" applyNumberFormat="1" applyFont="1" applyBorder="1"/>
    <xf numFmtId="169" fontId="23" fillId="0" borderId="52" xfId="0" applyNumberFormat="1" applyFont="1" applyBorder="1"/>
    <xf numFmtId="0" fontId="63" fillId="0" borderId="0" xfId="0" applyFont="1" applyAlignment="1">
      <alignment horizontal="left"/>
    </xf>
    <xf numFmtId="0" fontId="56" fillId="0" borderId="0" xfId="0" applyFont="1" applyAlignment="1">
      <alignment vertical="center"/>
    </xf>
    <xf numFmtId="0" fontId="64" fillId="0" borderId="53" xfId="0" applyFont="1" applyBorder="1" applyAlignment="1">
      <alignment horizontal="left" indent="1"/>
    </xf>
    <xf numFmtId="169" fontId="65" fillId="0" borderId="0" xfId="0" applyNumberFormat="1" applyFont="1"/>
    <xf numFmtId="169" fontId="65" fillId="0" borderId="54" xfId="0" applyNumberFormat="1" applyFont="1" applyBorder="1"/>
    <xf numFmtId="0" fontId="36" fillId="0" borderId="55" xfId="0" applyFont="1" applyBorder="1" applyAlignment="1">
      <alignment horizontal="left" indent="1"/>
    </xf>
    <xf numFmtId="0" fontId="17" fillId="0" borderId="56" xfId="0" applyFont="1" applyBorder="1"/>
    <xf numFmtId="0" fontId="21" fillId="0" borderId="56" xfId="0" applyFont="1" applyBorder="1" applyAlignment="1">
      <alignment horizontal="right"/>
    </xf>
    <xf numFmtId="164" fontId="36" fillId="0" borderId="57" xfId="0" applyNumberFormat="1" applyFont="1" applyBorder="1" applyAlignment="1">
      <alignment horizontal="right"/>
    </xf>
    <xf numFmtId="181" fontId="36" fillId="0" borderId="0" xfId="0" applyNumberFormat="1" applyFont="1" applyAlignment="1">
      <alignment horizontal="center"/>
    </xf>
    <xf numFmtId="169" fontId="23" fillId="0" borderId="54" xfId="0" applyNumberFormat="1" applyFont="1" applyBorder="1"/>
    <xf numFmtId="0" fontId="4" fillId="0" borderId="0" xfId="0" applyFont="1" applyAlignment="1">
      <alignment horizontal="center"/>
    </xf>
    <xf numFmtId="0" fontId="21" fillId="0" borderId="0" xfId="0" applyFont="1" applyAlignment="1">
      <alignment horizontal="left" indent="2"/>
    </xf>
    <xf numFmtId="164" fontId="36" fillId="0" borderId="0" xfId="0" applyNumberFormat="1" applyFont="1"/>
    <xf numFmtId="0" fontId="64" fillId="0" borderId="58" xfId="0" applyFont="1" applyBorder="1" applyAlignment="1">
      <alignment horizontal="left" indent="1"/>
    </xf>
    <xf numFmtId="169" fontId="23" fillId="0" borderId="59" xfId="0" applyNumberFormat="1" applyFont="1" applyBorder="1"/>
    <xf numFmtId="169" fontId="4" fillId="0" borderId="0" xfId="0" applyNumberFormat="1" applyFont="1"/>
    <xf numFmtId="164" fontId="66" fillId="0" borderId="29" xfId="0" applyNumberFormat="1" applyFont="1" applyBorder="1" applyAlignment="1">
      <alignment horizontal="left" indent="2"/>
    </xf>
    <xf numFmtId="0" fontId="64" fillId="0" borderId="0" xfId="0" applyFont="1"/>
    <xf numFmtId="164" fontId="67" fillId="0" borderId="0" xfId="0" applyNumberFormat="1" applyFont="1" applyAlignment="1">
      <alignment horizontal="right"/>
    </xf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21" fillId="0" borderId="0" xfId="0" applyFont="1" applyAlignment="1">
      <alignment horizontal="right"/>
    </xf>
    <xf numFmtId="182" fontId="23" fillId="0" borderId="0" xfId="2" applyNumberFormat="1" applyFont="1" applyBorder="1"/>
    <xf numFmtId="0" fontId="75" fillId="0" borderId="0" xfId="0" applyFont="1"/>
    <xf numFmtId="0" fontId="76" fillId="0" borderId="0" xfId="0" applyFont="1"/>
    <xf numFmtId="10" fontId="23" fillId="0" borderId="0" xfId="2" applyNumberFormat="1" applyFont="1"/>
    <xf numFmtId="169" fontId="69" fillId="0" borderId="0" xfId="3" applyNumberFormat="1" applyFont="1" applyFill="1" applyBorder="1"/>
    <xf numFmtId="0" fontId="77" fillId="0" borderId="0" xfId="0" applyFont="1"/>
    <xf numFmtId="0" fontId="78" fillId="0" borderId="0" xfId="0" applyFont="1"/>
    <xf numFmtId="43" fontId="40" fillId="0" borderId="0" xfId="4" applyFont="1" applyAlignment="1">
      <alignment vertical="center"/>
    </xf>
    <xf numFmtId="0" fontId="79" fillId="0" borderId="0" xfId="0" applyFont="1" applyAlignment="1">
      <alignment horizontal="right"/>
    </xf>
    <xf numFmtId="43" fontId="23" fillId="0" borderId="0" xfId="0" applyNumberFormat="1" applyFont="1"/>
    <xf numFmtId="0" fontId="80" fillId="0" borderId="0" xfId="0" applyFont="1"/>
    <xf numFmtId="6" fontId="23" fillId="0" borderId="0" xfId="0" applyNumberFormat="1" applyFont="1"/>
    <xf numFmtId="0" fontId="78" fillId="0" borderId="0" xfId="0" applyFont="1" applyAlignment="1">
      <alignment horizontal="right"/>
    </xf>
    <xf numFmtId="0" fontId="0" fillId="0" borderId="0" xfId="0" applyAlignment="1">
      <alignment horizontal="right"/>
    </xf>
    <xf numFmtId="17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0" fontId="70" fillId="0" borderId="0" xfId="0" applyNumberFormat="1" applyFont="1"/>
    <xf numFmtId="0" fontId="36" fillId="0" borderId="0" xfId="0" applyFont="1" applyAlignment="1">
      <alignment horizontal="left"/>
    </xf>
    <xf numFmtId="0" fontId="36" fillId="0" borderId="0" xfId="0" applyFont="1" applyAlignment="1">
      <alignment horizontal="right"/>
    </xf>
    <xf numFmtId="164" fontId="8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21" fillId="0" borderId="0" xfId="0" applyFont="1" applyAlignment="1">
      <alignment horizontal="left"/>
    </xf>
    <xf numFmtId="183" fontId="17" fillId="0" borderId="0" xfId="0" applyNumberFormat="1" applyFont="1"/>
    <xf numFmtId="0" fontId="70" fillId="0" borderId="0" xfId="0" applyFont="1" applyAlignment="1">
      <alignment horizontal="center"/>
    </xf>
    <xf numFmtId="164" fontId="81" fillId="0" borderId="0" xfId="0" applyNumberFormat="1" applyFont="1" applyAlignment="1">
      <alignment horizontal="right" wrapText="1"/>
    </xf>
    <xf numFmtId="0" fontId="17" fillId="0" borderId="0" xfId="0" applyFont="1" applyAlignment="1">
      <alignment horizontal="left"/>
    </xf>
    <xf numFmtId="0" fontId="82" fillId="0" borderId="0" xfId="0" applyFont="1" applyAlignment="1">
      <alignment horizontal="center"/>
    </xf>
    <xf numFmtId="166" fontId="51" fillId="0" borderId="0" xfId="0" applyNumberFormat="1" applyFont="1" applyAlignment="1">
      <alignment horizontal="center"/>
    </xf>
    <xf numFmtId="0" fontId="51" fillId="0" borderId="0" xfId="0" applyFont="1" applyAlignment="1">
      <alignment horizontal="right" indent="1"/>
    </xf>
    <xf numFmtId="166" fontId="51" fillId="0" borderId="0" xfId="0" applyNumberFormat="1" applyFont="1" applyAlignment="1">
      <alignment horizontal="right" indent="1"/>
    </xf>
    <xf numFmtId="173" fontId="0" fillId="0" borderId="0" xfId="0" applyNumberFormat="1"/>
    <xf numFmtId="184" fontId="17" fillId="0" borderId="0" xfId="0" applyNumberFormat="1" applyFont="1"/>
    <xf numFmtId="173" fontId="51" fillId="0" borderId="0" xfId="0" applyNumberFormat="1" applyFont="1" applyAlignment="1">
      <alignment horizontal="right"/>
    </xf>
    <xf numFmtId="173" fontId="0" fillId="0" borderId="0" xfId="0" applyNumberFormat="1" applyAlignment="1">
      <alignment horizontal="right"/>
    </xf>
    <xf numFmtId="0" fontId="52" fillId="0" borderId="0" xfId="0" applyFont="1" applyAlignment="1">
      <alignment horizontal="left"/>
    </xf>
    <xf numFmtId="185" fontId="17" fillId="0" borderId="0" xfId="0" applyNumberFormat="1" applyFont="1"/>
    <xf numFmtId="185" fontId="70" fillId="0" borderId="0" xfId="0" applyNumberFormat="1" applyFont="1"/>
    <xf numFmtId="165" fontId="70" fillId="0" borderId="0" xfId="0" applyNumberFormat="1" applyFont="1"/>
    <xf numFmtId="0" fontId="83" fillId="0" borderId="0" xfId="0" applyFont="1" applyAlignment="1">
      <alignment horizontal="left"/>
    </xf>
    <xf numFmtId="0" fontId="83" fillId="0" borderId="0" xfId="0" applyFont="1" applyAlignment="1">
      <alignment horizontal="center"/>
    </xf>
    <xf numFmtId="0" fontId="70" fillId="0" borderId="0" xfId="0" applyFont="1" applyAlignment="1">
      <alignment horizontal="left"/>
    </xf>
    <xf numFmtId="14" fontId="84" fillId="0" borderId="0" xfId="0" applyNumberFormat="1" applyFont="1"/>
    <xf numFmtId="174" fontId="17" fillId="0" borderId="0" xfId="0" applyNumberFormat="1" applyFont="1" applyAlignment="1">
      <alignment horizontal="left"/>
    </xf>
    <xf numFmtId="0" fontId="85" fillId="0" borderId="0" xfId="0" applyFont="1"/>
    <xf numFmtId="0" fontId="86" fillId="0" borderId="0" xfId="0" applyFont="1"/>
    <xf numFmtId="180" fontId="78" fillId="0" borderId="0" xfId="0" applyNumberFormat="1" applyFont="1"/>
    <xf numFmtId="169" fontId="84" fillId="0" borderId="0" xfId="4" applyNumberFormat="1" applyFont="1" applyFill="1" applyBorder="1"/>
    <xf numFmtId="0" fontId="82" fillId="0" borderId="0" xfId="0" applyFont="1"/>
    <xf numFmtId="169" fontId="87" fillId="0" borderId="0" xfId="4" applyNumberFormat="1" applyFont="1" applyFill="1" applyBorder="1"/>
    <xf numFmtId="10" fontId="88" fillId="0" borderId="0" xfId="0" applyNumberFormat="1" applyFont="1"/>
    <xf numFmtId="165" fontId="17" fillId="0" borderId="0" xfId="0" applyNumberFormat="1" applyFont="1" applyAlignment="1">
      <alignment horizontal="right"/>
    </xf>
    <xf numFmtId="9" fontId="84" fillId="0" borderId="0" xfId="2" applyFont="1" applyFill="1" applyBorder="1"/>
    <xf numFmtId="186" fontId="17" fillId="0" borderId="0" xfId="0" applyNumberFormat="1" applyFont="1"/>
    <xf numFmtId="0" fontId="6" fillId="0" borderId="0" xfId="0" applyFont="1" applyAlignment="1">
      <alignment horizontal="left"/>
    </xf>
    <xf numFmtId="0" fontId="89" fillId="0" borderId="0" xfId="0" applyFont="1"/>
    <xf numFmtId="165" fontId="36" fillId="0" borderId="0" xfId="0" applyNumberFormat="1" applyFont="1"/>
    <xf numFmtId="3" fontId="90" fillId="0" borderId="0" xfId="0" applyNumberFormat="1" applyFont="1"/>
    <xf numFmtId="10" fontId="84" fillId="0" borderId="0" xfId="0" applyNumberFormat="1" applyFont="1"/>
    <xf numFmtId="10" fontId="90" fillId="0" borderId="0" xfId="0" applyNumberFormat="1" applyFont="1"/>
    <xf numFmtId="164" fontId="56" fillId="0" borderId="0" xfId="0" applyNumberFormat="1" applyFont="1"/>
    <xf numFmtId="10" fontId="90" fillId="0" borderId="0" xfId="0" applyNumberFormat="1" applyFont="1" applyAlignment="1">
      <alignment horizontal="right"/>
    </xf>
    <xf numFmtId="170" fontId="17" fillId="0" borderId="0" xfId="0" applyNumberFormat="1" applyFont="1" applyAlignment="1">
      <alignment horizontal="left"/>
    </xf>
    <xf numFmtId="0" fontId="91" fillId="0" borderId="0" xfId="0" applyFont="1" applyAlignment="1">
      <alignment horizontal="center"/>
    </xf>
    <xf numFmtId="0" fontId="0" fillId="0" borderId="0" xfId="0" applyAlignment="1">
      <alignment horizontal="center"/>
    </xf>
    <xf numFmtId="170" fontId="17" fillId="0" borderId="0" xfId="0" applyNumberFormat="1" applyFont="1" applyAlignment="1">
      <alignment horizontal="left" indent="1"/>
    </xf>
    <xf numFmtId="170" fontId="17" fillId="0" borderId="0" xfId="0" quotePrefix="1" applyNumberFormat="1" applyFont="1" applyAlignment="1">
      <alignment horizontal="left" indent="1"/>
    </xf>
    <xf numFmtId="170" fontId="21" fillId="0" borderId="0" xfId="0" applyNumberFormat="1" applyFont="1" applyAlignment="1">
      <alignment horizontal="left"/>
    </xf>
    <xf numFmtId="0" fontId="92" fillId="0" borderId="0" xfId="0" applyFont="1" applyAlignment="1">
      <alignment horizontal="left"/>
    </xf>
    <xf numFmtId="14" fontId="93" fillId="0" borderId="0" xfId="0" applyNumberFormat="1" applyFont="1"/>
    <xf numFmtId="0" fontId="93" fillId="0" borderId="0" xfId="0" applyFont="1"/>
    <xf numFmtId="169" fontId="93" fillId="0" borderId="0" xfId="0" applyNumberFormat="1" applyFont="1"/>
    <xf numFmtId="170" fontId="17" fillId="0" borderId="0" xfId="0" applyNumberFormat="1" applyFont="1" applyAlignment="1">
      <alignment horizontal="right" indent="1"/>
    </xf>
    <xf numFmtId="0" fontId="93" fillId="0" borderId="0" xfId="0" applyFont="1" applyAlignment="1">
      <alignment horizontal="left"/>
    </xf>
    <xf numFmtId="169" fontId="93" fillId="0" borderId="0" xfId="3" applyNumberFormat="1" applyFont="1" applyFill="1" applyBorder="1"/>
    <xf numFmtId="0" fontId="94" fillId="0" borderId="0" xfId="0" applyFont="1"/>
    <xf numFmtId="0" fontId="95" fillId="0" borderId="0" xfId="0" applyFont="1" applyAlignment="1">
      <alignment horizontal="left"/>
    </xf>
    <xf numFmtId="169" fontId="95" fillId="0" borderId="0" xfId="3" applyNumberFormat="1" applyFont="1" applyFill="1" applyBorder="1"/>
    <xf numFmtId="169" fontId="93" fillId="0" borderId="0" xfId="4" applyNumberFormat="1" applyFont="1" applyFill="1" applyBorder="1"/>
    <xf numFmtId="169" fontId="96" fillId="0" borderId="0" xfId="4" applyNumberFormat="1" applyFont="1" applyFill="1" applyBorder="1"/>
    <xf numFmtId="169" fontId="92" fillId="0" borderId="0" xfId="3" applyNumberFormat="1" applyFont="1" applyFill="1" applyBorder="1"/>
    <xf numFmtId="169" fontId="92" fillId="0" borderId="0" xfId="0" applyNumberFormat="1" applyFont="1"/>
    <xf numFmtId="0" fontId="32" fillId="0" borderId="0" xfId="0" applyFont="1"/>
    <xf numFmtId="187" fontId="0" fillId="0" borderId="0" xfId="4" applyNumberFormat="1" applyFont="1" applyFill="1" applyBorder="1"/>
    <xf numFmtId="0" fontId="1" fillId="0" borderId="0" xfId="0" applyFont="1"/>
    <xf numFmtId="0" fontId="92" fillId="0" borderId="0" xfId="0" applyFont="1"/>
    <xf numFmtId="0" fontId="97" fillId="0" borderId="0" xfId="0" applyFont="1"/>
    <xf numFmtId="10" fontId="93" fillId="0" borderId="0" xfId="2" applyNumberFormat="1" applyFont="1" applyBorder="1"/>
    <xf numFmtId="43" fontId="93" fillId="0" borderId="0" xfId="0" applyNumberFormat="1" applyFont="1"/>
    <xf numFmtId="6" fontId="93" fillId="0" borderId="0" xfId="0" applyNumberFormat="1" applyFont="1"/>
    <xf numFmtId="0" fontId="3" fillId="0" borderId="0" xfId="0" applyFont="1"/>
    <xf numFmtId="0" fontId="98" fillId="7" borderId="0" xfId="0" applyFont="1" applyFill="1"/>
    <xf numFmtId="168" fontId="31" fillId="0" borderId="0" xfId="0" applyNumberFormat="1" applyFont="1" applyAlignment="1">
      <alignment horizontal="right"/>
    </xf>
    <xf numFmtId="168" fontId="31" fillId="0" borderId="13" xfId="0" applyNumberFormat="1" applyFont="1" applyBorder="1" applyAlignment="1">
      <alignment horizontal="right"/>
    </xf>
    <xf numFmtId="169" fontId="31" fillId="0" borderId="0" xfId="3" applyNumberFormat="1" applyFont="1" applyFill="1" applyBorder="1" applyAlignment="1"/>
    <xf numFmtId="169" fontId="31" fillId="0" borderId="21" xfId="3" applyNumberFormat="1" applyFont="1" applyFill="1" applyBorder="1" applyAlignment="1"/>
    <xf numFmtId="10" fontId="31" fillId="0" borderId="21" xfId="2" applyNumberFormat="1" applyFont="1" applyFill="1" applyBorder="1" applyAlignment="1">
      <alignment horizontal="right"/>
    </xf>
    <xf numFmtId="10" fontId="99" fillId="0" borderId="21" xfId="0" applyNumberFormat="1" applyFont="1" applyBorder="1" applyAlignment="1">
      <alignment horizontal="right"/>
    </xf>
    <xf numFmtId="175" fontId="31" fillId="0" borderId="21" xfId="0" applyNumberFormat="1" applyFont="1" applyBorder="1" applyAlignment="1">
      <alignment horizontal="right"/>
    </xf>
    <xf numFmtId="9" fontId="31" fillId="0" borderId="13" xfId="2" applyFont="1" applyFill="1" applyBorder="1" applyAlignment="1">
      <alignment horizontal="right"/>
    </xf>
    <xf numFmtId="0" fontId="61" fillId="0" borderId="20" xfId="0" applyFont="1" applyBorder="1"/>
    <xf numFmtId="0" fontId="100" fillId="7" borderId="0" xfId="0" applyFont="1" applyFill="1"/>
    <xf numFmtId="0" fontId="42" fillId="0" borderId="0" xfId="0" applyFont="1"/>
    <xf numFmtId="169" fontId="47" fillId="0" borderId="0" xfId="0" applyNumberFormat="1" applyFont="1" applyAlignment="1">
      <alignment horizontal="center"/>
    </xf>
    <xf numFmtId="0" fontId="68" fillId="0" borderId="0" xfId="0" applyFont="1" applyAlignment="1">
      <alignment horizontal="left" indent="1"/>
    </xf>
    <xf numFmtId="14" fontId="7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</cellXfs>
  <cellStyles count="5">
    <cellStyle name="Comma" xfId="1" builtinId="3"/>
    <cellStyle name="Comma 2" xfId="4" xr:uid="{FB1632E4-CCEB-46F1-961C-877026690439}"/>
    <cellStyle name="Comma 3" xfId="3" xr:uid="{29EF5C1B-6FB4-46A0-8301-6AFE7474041B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0"/>
          <c:tx>
            <c:strRef>
              <c:f>Model!$T$72</c:f>
              <c:strCache>
                <c:ptCount val="1"/>
                <c:pt idx="0">
                  <c:v>NAV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Model!$U$70:$AA$70</c:f>
              <c:numCache>
                <c:formatCode>yyyy</c:formatCode>
                <c:ptCount val="7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</c:numCache>
            </c:numRef>
          </c:cat>
          <c:val>
            <c:numRef>
              <c:f>Model!$U$72:$AA$72</c:f>
              <c:numCache>
                <c:formatCode>_(#,##0_)_%;\(#,##0\)_%;_("–"_)_%;_(@_)_%</c:formatCode>
                <c:ptCount val="7"/>
                <c:pt idx="0">
                  <c:v>183.508458172329</c:v>
                </c:pt>
                <c:pt idx="1">
                  <c:v>232.12476198345146</c:v>
                </c:pt>
                <c:pt idx="2">
                  <c:v>184.07089125297756</c:v>
                </c:pt>
                <c:pt idx="3">
                  <c:v>64.894010316731709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C-4955-B03F-713C3616FB2E}"/>
            </c:ext>
          </c:extLst>
        </c:ser>
        <c:ser>
          <c:idx val="0"/>
          <c:order val="1"/>
          <c:tx>
            <c:strRef>
              <c:f>Model!$T$71</c:f>
              <c:strCache>
                <c:ptCount val="1"/>
                <c:pt idx="0">
                  <c:v>Ending Capital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Model!$U$70:$AA$70</c:f>
              <c:numCache>
                <c:formatCode>yyyy</c:formatCode>
                <c:ptCount val="7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</c:numCache>
            </c:numRef>
          </c:cat>
          <c:val>
            <c:numRef>
              <c:f>Model!$U$71:$AA$71</c:f>
              <c:numCache>
                <c:formatCode>_(#,##0_)_%;\(#,##0\)_%;_("–"_)_%;_(@_)_%</c:formatCode>
                <c:ptCount val="7"/>
                <c:pt idx="0">
                  <c:v>175.81002567666667</c:v>
                </c:pt>
                <c:pt idx="1">
                  <c:v>212.5</c:v>
                </c:pt>
                <c:pt idx="2">
                  <c:v>159.375</c:v>
                </c:pt>
                <c:pt idx="3">
                  <c:v>53.124999999999943</c:v>
                </c:pt>
                <c:pt idx="4">
                  <c:v>-8.5265128291212022E-14</c:v>
                </c:pt>
                <c:pt idx="5">
                  <c:v>-8.5265128291212022E-14</c:v>
                </c:pt>
                <c:pt idx="6">
                  <c:v>-8.5265128291212022E-14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C-4955-B03F-713C3616F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689232"/>
        <c:axId val="1533692144"/>
      </c:areaChart>
      <c:lineChart>
        <c:grouping val="standard"/>
        <c:varyColors val="0"/>
        <c:ser>
          <c:idx val="3"/>
          <c:order val="3"/>
          <c:tx>
            <c:strRef>
              <c:f>Model!$T$74</c:f>
              <c:strCache>
                <c:ptCount val="1"/>
                <c:pt idx="0">
                  <c:v>Peak NAV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Model!$U$70:$AA$70</c:f>
              <c:numCache>
                <c:formatCode>yyyy</c:formatCode>
                <c:ptCount val="7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</c:numCache>
            </c:numRef>
          </c:cat>
          <c:val>
            <c:numRef>
              <c:f>Model!$U$74:$AA$74</c:f>
              <c:numCache>
                <c:formatCode>_(#,##0_)_%;\(#,##0\)_%;_("–"_)_%;_(@_)_%</c:formatCode>
                <c:ptCount val="7"/>
                <c:pt idx="0">
                  <c:v>#N/A</c:v>
                </c:pt>
                <c:pt idx="1">
                  <c:v>232.12476198345146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C-4955-B03F-713C3616F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689232"/>
        <c:axId val="1533692144"/>
      </c:lineChart>
      <c:lineChart>
        <c:grouping val="standard"/>
        <c:varyColors val="0"/>
        <c:ser>
          <c:idx val="2"/>
          <c:order val="2"/>
          <c:tx>
            <c:strRef>
              <c:f>Model!$T$73</c:f>
              <c:strCache>
                <c:ptCount val="1"/>
                <c:pt idx="0">
                  <c:v>Net Cash Flow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Model!$U$70:$AA$70</c:f>
              <c:numCache>
                <c:formatCode>yyyy</c:formatCode>
                <c:ptCount val="7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  <c:pt idx="3">
                  <c:v>47483</c:v>
                </c:pt>
                <c:pt idx="4">
                  <c:v>47848</c:v>
                </c:pt>
                <c:pt idx="5">
                  <c:v>48213</c:v>
                </c:pt>
                <c:pt idx="6">
                  <c:v>48579</c:v>
                </c:pt>
              </c:numCache>
            </c:numRef>
          </c:cat>
          <c:val>
            <c:numRef>
              <c:f>Model!$U$73:$AA$73</c:f>
              <c:numCache>
                <c:formatCode>_(#,##0_)_%;\(#,##0\)_%;_("–"_)_%;_(@_)_%</c:formatCode>
                <c:ptCount val="7"/>
                <c:pt idx="0">
                  <c:v>62.423739011742704</c:v>
                </c:pt>
                <c:pt idx="1">
                  <c:v>19.792335032640658</c:v>
                </c:pt>
                <c:pt idx="2">
                  <c:v>-78.396432058704704</c:v>
                </c:pt>
                <c:pt idx="3">
                  <c:v>-136.78634026829917</c:v>
                </c:pt>
                <c:pt idx="4">
                  <c:v>-67.47094606501858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C-4955-B03F-713C3616F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571472"/>
        <c:axId val="1309571056"/>
      </c:lineChart>
      <c:dateAx>
        <c:axId val="153368923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533692144"/>
        <c:crosses val="autoZero"/>
        <c:auto val="0"/>
        <c:lblOffset val="100"/>
        <c:baseTimeUnit val="days"/>
        <c:majorUnit val="1"/>
        <c:majorTimeUnit val="years"/>
      </c:dateAx>
      <c:valAx>
        <c:axId val="1533692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>
                    <a:solidFill>
                      <a:schemeClr val="tx1"/>
                    </a:solidFill>
                    <a:latin typeface="+mj-lt"/>
                  </a:rPr>
                  <a:t>NAV</a:t>
                </a:r>
                <a:r>
                  <a:rPr lang="en-US" sz="1600" b="0" baseline="0">
                    <a:solidFill>
                      <a:schemeClr val="tx1"/>
                    </a:solidFill>
                    <a:latin typeface="+mj-lt"/>
                  </a:rPr>
                  <a:t> / Ending Capital</a:t>
                </a:r>
                <a:endParaRPr lang="en-US" sz="1600" b="0">
                  <a:solidFill>
                    <a:schemeClr val="tx1"/>
                  </a:solidFill>
                  <a:latin typeface="+mj-lt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#,##0_)_%;\(#,##0\)_%;_(&quot;–&quot;_)_%;_(@_)_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533689232"/>
        <c:crossesAt val="1"/>
        <c:crossBetween val="between"/>
      </c:valAx>
      <c:valAx>
        <c:axId val="13095710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+mj-lt"/>
                  </a:rPr>
                  <a:t>Net Cash Flow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#,##0_)_%;\(#,##0\)_%;_(&quot;–&quot;_)_%;_(@_)_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309571472"/>
        <c:crosses val="max"/>
        <c:crossBetween val="between"/>
      </c:valAx>
      <c:dateAx>
        <c:axId val="1309571472"/>
        <c:scaling>
          <c:orientation val="minMax"/>
        </c:scaling>
        <c:delete val="1"/>
        <c:axPos val="b"/>
        <c:numFmt formatCode="yyyy" sourceLinked="1"/>
        <c:majorTickMark val="out"/>
        <c:minorTickMark val="none"/>
        <c:tickLblPos val="nextTo"/>
        <c:crossAx val="1309571056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64</xdr:row>
      <xdr:rowOff>95250</xdr:rowOff>
    </xdr:from>
    <xdr:to>
      <xdr:col>14</xdr:col>
      <xdr:colOff>171450</xdr:colOff>
      <xdr:row>69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DBE92D-9E3E-491D-A49F-2AA4DA09A91B}"/>
            </a:ext>
          </a:extLst>
        </xdr:cNvPr>
        <xdr:cNvSpPr txBox="1"/>
      </xdr:nvSpPr>
      <xdr:spPr>
        <a:xfrm>
          <a:off x="1114425" y="14716125"/>
          <a:ext cx="16411575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Note: Data and inputs sourced from Navigator.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30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Per an</a:t>
          </a:r>
          <a:r>
            <a:rPr lang="en-US" sz="1300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US" sz="130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ISG IT one-off query of the</a:t>
          </a:r>
          <a:r>
            <a:rPr lang="en-US" sz="1300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US" sz="130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underlying NAVigator</a:t>
          </a:r>
          <a:r>
            <a:rPr lang="en-US" sz="1300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US" sz="130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database. The figure is assumed to be directionally correct,</a:t>
          </a:r>
          <a:r>
            <a:rPr lang="en-US" sz="1300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h</a:t>
          </a:r>
          <a:r>
            <a:rPr lang="en-US" sz="130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owever accuracy has yet to be confirmed so it could be materially misleading.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3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Return before management fees and carry.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300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The funded amount is assumed to be equal to 3/31/23 stated NAV.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3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Total Period Return is the weighted </a:t>
          </a:r>
          <a:r>
            <a:rPr lang="en-US" sz="13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average</a:t>
          </a:r>
          <a:r>
            <a:rPr lang="en-US" sz="13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of periodic</a:t>
          </a:r>
          <a:r>
            <a:rPr lang="en-US" sz="13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US" sz="13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returns weighted by each periods</a:t>
          </a:r>
          <a:r>
            <a:rPr lang="en-US" sz="13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average NAV</a:t>
          </a:r>
          <a:r>
            <a:rPr lang="en-US" sz="13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. For purposes</a:t>
          </a:r>
          <a:r>
            <a:rPr lang="en-US" sz="13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of the calculation an </a:t>
          </a:r>
          <a:r>
            <a:rPr lang="en-US" sz="13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initial stub period</a:t>
          </a:r>
          <a:r>
            <a:rPr lang="en-US" sz="13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US" sz="13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is annualized.</a:t>
          </a:r>
          <a:endParaRPr lang="en-US" sz="1300" i="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endParaRPr lang="en-US" sz="1300" i="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endParaRPr lang="en-US" sz="1300" i="0">
            <a:effectLst/>
            <a:latin typeface="+mj-lt"/>
          </a:endParaRPr>
        </a:p>
      </xdr:txBody>
    </xdr:sp>
    <xdr:clientData/>
  </xdr:twoCellAnchor>
  <xdr:twoCellAnchor>
    <xdr:from>
      <xdr:col>8</xdr:col>
      <xdr:colOff>28013</xdr:colOff>
      <xdr:row>42</xdr:row>
      <xdr:rowOff>62755</xdr:rowOff>
    </xdr:from>
    <xdr:to>
      <xdr:col>17</xdr:col>
      <xdr:colOff>56028</xdr:colOff>
      <xdr:row>65</xdr:row>
      <xdr:rowOff>56032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2A4846-3DA9-45A6-9E6E-39949EE8C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7FB0-B204-413E-9788-88DDF03213C1}">
  <sheetPr codeName="Sheet283">
    <tabColor rgb="FF00B0F0"/>
    <pageSetUpPr fitToPage="1"/>
  </sheetPr>
  <dimension ref="A1:IQ160"/>
  <sheetViews>
    <sheetView showGridLines="0" tabSelected="1" view="pageBreakPreview" zoomScale="70" zoomScaleNormal="70" zoomScaleSheetLayoutView="70" workbookViewId="0"/>
  </sheetViews>
  <sheetFormatPr defaultColWidth="10.28515625" defaultRowHeight="15" customHeight="1" outlineLevelRow="1" x14ac:dyDescent="0.25"/>
  <cols>
    <col min="1" max="1" width="13.42578125" style="1" bestFit="1" customWidth="1"/>
    <col min="2" max="3" width="4.140625" customWidth="1"/>
    <col min="4" max="4" width="45.85546875" customWidth="1"/>
    <col min="5" max="5" width="20.28515625" customWidth="1"/>
    <col min="6" max="6" width="24.28515625" bestFit="1" customWidth="1"/>
    <col min="7" max="7" width="20.28515625" customWidth="1"/>
    <col min="8" max="8" width="2.7109375" customWidth="1"/>
    <col min="9" max="9" width="41.5703125" customWidth="1"/>
    <col min="10" max="15" width="16.7109375" customWidth="1"/>
    <col min="16" max="16" width="17.5703125" bestFit="1" customWidth="1"/>
    <col min="17" max="17" width="16.7109375" customWidth="1"/>
    <col min="18" max="18" width="4.140625" customWidth="1"/>
    <col min="19" max="19" width="30" bestFit="1" customWidth="1"/>
    <col min="20" max="20" width="43" bestFit="1" customWidth="1"/>
    <col min="21" max="21" width="18.28515625" customWidth="1"/>
    <col min="22" max="236" width="16.85546875" customWidth="1"/>
  </cols>
  <sheetData>
    <row r="1" spans="1:251" ht="15" customHeight="1" x14ac:dyDescent="0.3">
      <c r="D1" s="2">
        <v>1000000</v>
      </c>
      <c r="E1" s="3" t="s">
        <v>0</v>
      </c>
      <c r="F1" s="4">
        <v>46022</v>
      </c>
      <c r="I1" s="5"/>
      <c r="J1" s="5"/>
      <c r="T1" s="6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1:251" ht="15" customHeight="1" x14ac:dyDescent="0.25">
      <c r="D2" s="8"/>
      <c r="I2" s="9" t="s">
        <v>1</v>
      </c>
      <c r="U2" s="10"/>
      <c r="AI2" s="10"/>
      <c r="AJ2" s="10"/>
      <c r="AK2" s="10"/>
      <c r="AL2" s="10"/>
      <c r="AM2" s="10"/>
    </row>
    <row r="3" spans="1:251" ht="21" x14ac:dyDescent="0.35">
      <c r="A3" s="11"/>
      <c r="C3" s="12"/>
      <c r="D3" s="13" t="s">
        <v>2</v>
      </c>
      <c r="E3" s="14">
        <f>E6</f>
        <v>0</v>
      </c>
      <c r="F3" s="13"/>
      <c r="G3" s="15"/>
      <c r="H3" s="13"/>
      <c r="I3" s="15" t="s">
        <v>3</v>
      </c>
      <c r="J3" s="16" t="s">
        <v>4</v>
      </c>
      <c r="K3" s="17"/>
      <c r="L3" s="17"/>
      <c r="M3" s="18"/>
      <c r="N3" s="18"/>
      <c r="O3" s="15" t="s">
        <v>0</v>
      </c>
      <c r="P3" s="19">
        <f>F1</f>
        <v>46022</v>
      </c>
      <c r="Q3" s="20" t="s">
        <v>5</v>
      </c>
      <c r="S3" s="21"/>
      <c r="T3" s="22"/>
    </row>
    <row r="4" spans="1:251" ht="18" customHeight="1" x14ac:dyDescent="0.3">
      <c r="C4" s="21"/>
      <c r="F4" s="23"/>
      <c r="J4" s="24" t="s">
        <v>6</v>
      </c>
      <c r="K4" s="25"/>
      <c r="L4" s="25"/>
      <c r="M4" s="25"/>
      <c r="N4" s="25"/>
      <c r="O4" s="25"/>
      <c r="P4" s="25"/>
      <c r="Q4" s="26" t="str">
        <f>+G45</f>
        <v>OK</v>
      </c>
      <c r="S4" s="27"/>
      <c r="T4" s="1">
        <f>E6</f>
        <v>0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</row>
    <row r="5" spans="1:251" ht="18" customHeight="1" x14ac:dyDescent="0.3">
      <c r="C5" s="21"/>
      <c r="D5" s="28" t="s">
        <v>7</v>
      </c>
      <c r="E5" s="23"/>
      <c r="F5" s="23"/>
      <c r="G5" s="29"/>
      <c r="J5" s="24" t="s">
        <v>8</v>
      </c>
      <c r="K5" s="25"/>
      <c r="L5" s="25"/>
      <c r="M5" s="30" t="s">
        <v>9</v>
      </c>
      <c r="N5" s="31"/>
      <c r="O5" s="30"/>
      <c r="P5" s="25"/>
      <c r="Q5" s="25"/>
      <c r="R5" s="23"/>
      <c r="S5" s="27"/>
      <c r="T5" s="32" t="s">
        <v>10</v>
      </c>
      <c r="U5" s="33"/>
      <c r="V5" s="34">
        <v>1</v>
      </c>
      <c r="W5" s="34">
        <f>V5+1</f>
        <v>2</v>
      </c>
      <c r="X5" s="34">
        <f>W5+1</f>
        <v>3</v>
      </c>
      <c r="Y5" s="34">
        <f>X5+1</f>
        <v>4</v>
      </c>
      <c r="Z5" s="34">
        <f>Y5+1</f>
        <v>5</v>
      </c>
      <c r="AA5" s="34">
        <f>Z5+1</f>
        <v>6</v>
      </c>
      <c r="AB5" s="34">
        <f t="shared" ref="AB5:CM5" si="0">AA5+1</f>
        <v>7</v>
      </c>
      <c r="AC5" s="34">
        <f t="shared" si="0"/>
        <v>8</v>
      </c>
      <c r="AD5" s="34">
        <f>AC5+1</f>
        <v>9</v>
      </c>
      <c r="AE5" s="34">
        <f t="shared" si="0"/>
        <v>10</v>
      </c>
      <c r="AF5" s="34">
        <f t="shared" si="0"/>
        <v>11</v>
      </c>
      <c r="AG5" s="34">
        <f t="shared" si="0"/>
        <v>12</v>
      </c>
      <c r="AH5" s="34">
        <f t="shared" si="0"/>
        <v>13</v>
      </c>
      <c r="AI5" s="34">
        <f t="shared" si="0"/>
        <v>14</v>
      </c>
      <c r="AJ5" s="34">
        <f t="shared" si="0"/>
        <v>15</v>
      </c>
      <c r="AK5" s="34">
        <f t="shared" si="0"/>
        <v>16</v>
      </c>
      <c r="AL5" s="34">
        <f t="shared" si="0"/>
        <v>17</v>
      </c>
      <c r="AM5" s="34">
        <f t="shared" si="0"/>
        <v>18</v>
      </c>
      <c r="AN5" s="34">
        <f t="shared" si="0"/>
        <v>19</v>
      </c>
      <c r="AO5" s="34">
        <f t="shared" si="0"/>
        <v>20</v>
      </c>
      <c r="AP5" s="34">
        <f t="shared" si="0"/>
        <v>21</v>
      </c>
      <c r="AQ5" s="34">
        <f t="shared" si="0"/>
        <v>22</v>
      </c>
      <c r="AR5" s="34">
        <f t="shared" si="0"/>
        <v>23</v>
      </c>
      <c r="AS5" s="34">
        <f t="shared" si="0"/>
        <v>24</v>
      </c>
      <c r="AT5" s="34">
        <f t="shared" si="0"/>
        <v>25</v>
      </c>
      <c r="AU5" s="34">
        <f t="shared" si="0"/>
        <v>26</v>
      </c>
      <c r="AV5" s="34">
        <f t="shared" si="0"/>
        <v>27</v>
      </c>
      <c r="AW5" s="34">
        <f t="shared" si="0"/>
        <v>28</v>
      </c>
      <c r="AX5" s="34">
        <f t="shared" si="0"/>
        <v>29</v>
      </c>
      <c r="AY5" s="34">
        <f t="shared" si="0"/>
        <v>30</v>
      </c>
      <c r="AZ5" s="34">
        <f t="shared" si="0"/>
        <v>31</v>
      </c>
      <c r="BA5" s="34">
        <f t="shared" si="0"/>
        <v>32</v>
      </c>
      <c r="BB5" s="34">
        <f t="shared" si="0"/>
        <v>33</v>
      </c>
      <c r="BC5" s="34">
        <f t="shared" si="0"/>
        <v>34</v>
      </c>
      <c r="BD5" s="34">
        <f t="shared" si="0"/>
        <v>35</v>
      </c>
      <c r="BE5" s="34">
        <f t="shared" si="0"/>
        <v>36</v>
      </c>
      <c r="BF5" s="34">
        <f t="shared" si="0"/>
        <v>37</v>
      </c>
      <c r="BG5" s="34">
        <f t="shared" si="0"/>
        <v>38</v>
      </c>
      <c r="BH5" s="34">
        <f t="shared" si="0"/>
        <v>39</v>
      </c>
      <c r="BI5" s="34">
        <f t="shared" si="0"/>
        <v>40</v>
      </c>
      <c r="BJ5" s="34">
        <f t="shared" si="0"/>
        <v>41</v>
      </c>
      <c r="BK5" s="34">
        <f t="shared" si="0"/>
        <v>42</v>
      </c>
      <c r="BL5" s="34">
        <f t="shared" si="0"/>
        <v>43</v>
      </c>
      <c r="BM5" s="34">
        <f t="shared" si="0"/>
        <v>44</v>
      </c>
      <c r="BN5" s="34">
        <f t="shared" si="0"/>
        <v>45</v>
      </c>
      <c r="BO5" s="34">
        <f t="shared" si="0"/>
        <v>46</v>
      </c>
      <c r="BP5" s="34">
        <f t="shared" si="0"/>
        <v>47</v>
      </c>
      <c r="BQ5" s="34">
        <f t="shared" si="0"/>
        <v>48</v>
      </c>
      <c r="BR5" s="34">
        <f t="shared" si="0"/>
        <v>49</v>
      </c>
      <c r="BS5" s="34">
        <f t="shared" si="0"/>
        <v>50</v>
      </c>
      <c r="BT5" s="34">
        <f t="shared" si="0"/>
        <v>51</v>
      </c>
      <c r="BU5" s="34">
        <f t="shared" si="0"/>
        <v>52</v>
      </c>
      <c r="BV5" s="34">
        <f t="shared" si="0"/>
        <v>53</v>
      </c>
      <c r="BW5" s="34">
        <f t="shared" si="0"/>
        <v>54</v>
      </c>
      <c r="BX5" s="34">
        <f t="shared" si="0"/>
        <v>55</v>
      </c>
      <c r="BY5" s="34">
        <f t="shared" si="0"/>
        <v>56</v>
      </c>
      <c r="BZ5" s="34">
        <f t="shared" si="0"/>
        <v>57</v>
      </c>
      <c r="CA5" s="34">
        <f t="shared" si="0"/>
        <v>58</v>
      </c>
      <c r="CB5" s="34">
        <f t="shared" si="0"/>
        <v>59</v>
      </c>
      <c r="CC5" s="34">
        <f t="shared" si="0"/>
        <v>60</v>
      </c>
      <c r="CD5" s="34">
        <f t="shared" si="0"/>
        <v>61</v>
      </c>
      <c r="CE5" s="34">
        <f t="shared" si="0"/>
        <v>62</v>
      </c>
      <c r="CF5" s="34">
        <f t="shared" si="0"/>
        <v>63</v>
      </c>
      <c r="CG5" s="34">
        <f t="shared" si="0"/>
        <v>64</v>
      </c>
      <c r="CH5" s="34">
        <f t="shared" si="0"/>
        <v>65</v>
      </c>
      <c r="CI5" s="34">
        <f t="shared" si="0"/>
        <v>66</v>
      </c>
      <c r="CJ5" s="34">
        <f t="shared" si="0"/>
        <v>67</v>
      </c>
      <c r="CK5" s="34">
        <f t="shared" si="0"/>
        <v>68</v>
      </c>
      <c r="CL5" s="34">
        <f t="shared" si="0"/>
        <v>69</v>
      </c>
      <c r="CM5" s="34">
        <f t="shared" si="0"/>
        <v>70</v>
      </c>
      <c r="CN5" s="34">
        <f t="shared" ref="CN5:EY5" si="1">CM5+1</f>
        <v>71</v>
      </c>
      <c r="CO5" s="34">
        <f t="shared" si="1"/>
        <v>72</v>
      </c>
      <c r="CP5" s="34">
        <f t="shared" si="1"/>
        <v>73</v>
      </c>
      <c r="CQ5" s="34">
        <f t="shared" si="1"/>
        <v>74</v>
      </c>
      <c r="CR5" s="34">
        <f t="shared" si="1"/>
        <v>75</v>
      </c>
      <c r="CS5" s="34">
        <f t="shared" si="1"/>
        <v>76</v>
      </c>
      <c r="CT5" s="34">
        <f t="shared" si="1"/>
        <v>77</v>
      </c>
      <c r="CU5" s="34">
        <f t="shared" si="1"/>
        <v>78</v>
      </c>
      <c r="CV5" s="34">
        <f t="shared" si="1"/>
        <v>79</v>
      </c>
      <c r="CW5" s="34">
        <f t="shared" si="1"/>
        <v>80</v>
      </c>
      <c r="CX5" s="34">
        <f t="shared" si="1"/>
        <v>81</v>
      </c>
      <c r="CY5" s="34">
        <f t="shared" si="1"/>
        <v>82</v>
      </c>
      <c r="CZ5" s="34">
        <f t="shared" si="1"/>
        <v>83</v>
      </c>
      <c r="DA5" s="34">
        <f t="shared" si="1"/>
        <v>84</v>
      </c>
      <c r="DB5" s="34">
        <f t="shared" si="1"/>
        <v>85</v>
      </c>
      <c r="DC5" s="34">
        <f t="shared" si="1"/>
        <v>86</v>
      </c>
      <c r="DD5" s="34">
        <f t="shared" si="1"/>
        <v>87</v>
      </c>
      <c r="DE5" s="34">
        <f t="shared" si="1"/>
        <v>88</v>
      </c>
      <c r="DF5" s="34">
        <f t="shared" si="1"/>
        <v>89</v>
      </c>
      <c r="DG5" s="34">
        <f t="shared" si="1"/>
        <v>90</v>
      </c>
      <c r="DH5" s="34">
        <f t="shared" si="1"/>
        <v>91</v>
      </c>
      <c r="DI5" s="34">
        <f t="shared" si="1"/>
        <v>92</v>
      </c>
      <c r="DJ5" s="34">
        <f t="shared" si="1"/>
        <v>93</v>
      </c>
      <c r="DK5" s="34">
        <f t="shared" si="1"/>
        <v>94</v>
      </c>
      <c r="DL5" s="34">
        <f t="shared" si="1"/>
        <v>95</v>
      </c>
      <c r="DM5" s="34">
        <f t="shared" si="1"/>
        <v>96</v>
      </c>
      <c r="DN5" s="34">
        <f t="shared" si="1"/>
        <v>97</v>
      </c>
      <c r="DO5" s="34">
        <f t="shared" si="1"/>
        <v>98</v>
      </c>
      <c r="DP5" s="34">
        <f t="shared" si="1"/>
        <v>99</v>
      </c>
      <c r="DQ5" s="34">
        <f t="shared" si="1"/>
        <v>100</v>
      </c>
      <c r="DR5" s="34">
        <f t="shared" si="1"/>
        <v>101</v>
      </c>
      <c r="DS5" s="34">
        <f t="shared" si="1"/>
        <v>102</v>
      </c>
      <c r="DT5" s="34">
        <f t="shared" si="1"/>
        <v>103</v>
      </c>
      <c r="DU5" s="34">
        <f t="shared" si="1"/>
        <v>104</v>
      </c>
      <c r="DV5" s="34">
        <f t="shared" si="1"/>
        <v>105</v>
      </c>
      <c r="DW5" s="34">
        <f t="shared" si="1"/>
        <v>106</v>
      </c>
      <c r="DX5" s="34">
        <f t="shared" si="1"/>
        <v>107</v>
      </c>
      <c r="DY5" s="34">
        <f t="shared" si="1"/>
        <v>108</v>
      </c>
      <c r="DZ5" s="34">
        <f t="shared" si="1"/>
        <v>109</v>
      </c>
      <c r="EA5" s="34">
        <f t="shared" si="1"/>
        <v>110</v>
      </c>
      <c r="EB5" s="34">
        <f t="shared" si="1"/>
        <v>111</v>
      </c>
      <c r="EC5" s="34">
        <f t="shared" si="1"/>
        <v>112</v>
      </c>
      <c r="ED5" s="34">
        <f t="shared" si="1"/>
        <v>113</v>
      </c>
      <c r="EE5" s="34">
        <f t="shared" si="1"/>
        <v>114</v>
      </c>
      <c r="EF5" s="34">
        <f t="shared" si="1"/>
        <v>115</v>
      </c>
      <c r="EG5" s="34">
        <f t="shared" si="1"/>
        <v>116</v>
      </c>
      <c r="EH5" s="34">
        <f t="shared" si="1"/>
        <v>117</v>
      </c>
      <c r="EI5" s="34">
        <f t="shared" si="1"/>
        <v>118</v>
      </c>
      <c r="EJ5" s="34">
        <f t="shared" si="1"/>
        <v>119</v>
      </c>
      <c r="EK5" s="34">
        <f t="shared" si="1"/>
        <v>120</v>
      </c>
      <c r="EL5" s="34">
        <f t="shared" si="1"/>
        <v>121</v>
      </c>
      <c r="EM5" s="34">
        <f t="shared" si="1"/>
        <v>122</v>
      </c>
      <c r="EN5" s="34">
        <f t="shared" si="1"/>
        <v>123</v>
      </c>
      <c r="EO5" s="34">
        <f t="shared" si="1"/>
        <v>124</v>
      </c>
      <c r="EP5" s="34">
        <f t="shared" si="1"/>
        <v>125</v>
      </c>
      <c r="EQ5" s="34">
        <f t="shared" si="1"/>
        <v>126</v>
      </c>
      <c r="ER5" s="34">
        <f t="shared" si="1"/>
        <v>127</v>
      </c>
      <c r="ES5" s="34">
        <f t="shared" si="1"/>
        <v>128</v>
      </c>
      <c r="ET5" s="34">
        <f t="shared" si="1"/>
        <v>129</v>
      </c>
      <c r="EU5" s="34">
        <f t="shared" si="1"/>
        <v>130</v>
      </c>
      <c r="EV5" s="34">
        <f t="shared" si="1"/>
        <v>131</v>
      </c>
      <c r="EW5" s="34">
        <f t="shared" si="1"/>
        <v>132</v>
      </c>
      <c r="EX5" s="34">
        <f t="shared" si="1"/>
        <v>133</v>
      </c>
      <c r="EY5" s="34">
        <f t="shared" si="1"/>
        <v>134</v>
      </c>
      <c r="EZ5" s="34">
        <f t="shared" ref="EZ5:HK5" si="2">EY5+1</f>
        <v>135</v>
      </c>
      <c r="FA5" s="34">
        <f t="shared" si="2"/>
        <v>136</v>
      </c>
      <c r="FB5" s="34">
        <f t="shared" si="2"/>
        <v>137</v>
      </c>
      <c r="FC5" s="34">
        <f t="shared" si="2"/>
        <v>138</v>
      </c>
      <c r="FD5" s="34">
        <f t="shared" si="2"/>
        <v>139</v>
      </c>
      <c r="FE5" s="34">
        <f t="shared" si="2"/>
        <v>140</v>
      </c>
      <c r="FF5" s="34">
        <f t="shared" si="2"/>
        <v>141</v>
      </c>
      <c r="FG5" s="34">
        <f t="shared" si="2"/>
        <v>142</v>
      </c>
      <c r="FH5" s="34">
        <f t="shared" si="2"/>
        <v>143</v>
      </c>
      <c r="FI5" s="34">
        <f t="shared" si="2"/>
        <v>144</v>
      </c>
      <c r="FJ5" s="34">
        <f t="shared" si="2"/>
        <v>145</v>
      </c>
      <c r="FK5" s="34">
        <f t="shared" si="2"/>
        <v>146</v>
      </c>
      <c r="FL5" s="34">
        <f t="shared" si="2"/>
        <v>147</v>
      </c>
      <c r="FM5" s="34">
        <f t="shared" si="2"/>
        <v>148</v>
      </c>
      <c r="FN5" s="34">
        <f t="shared" si="2"/>
        <v>149</v>
      </c>
      <c r="FO5" s="34">
        <f t="shared" si="2"/>
        <v>150</v>
      </c>
      <c r="FP5" s="34">
        <f t="shared" si="2"/>
        <v>151</v>
      </c>
      <c r="FQ5" s="34">
        <f t="shared" si="2"/>
        <v>152</v>
      </c>
      <c r="FR5" s="34">
        <f t="shared" si="2"/>
        <v>153</v>
      </c>
      <c r="FS5" s="34">
        <f t="shared" si="2"/>
        <v>154</v>
      </c>
      <c r="FT5" s="34">
        <f t="shared" si="2"/>
        <v>155</v>
      </c>
      <c r="FU5" s="34">
        <f t="shared" si="2"/>
        <v>156</v>
      </c>
      <c r="FV5" s="34">
        <f t="shared" si="2"/>
        <v>157</v>
      </c>
      <c r="FW5" s="34">
        <f t="shared" si="2"/>
        <v>158</v>
      </c>
      <c r="FX5" s="34">
        <f t="shared" si="2"/>
        <v>159</v>
      </c>
      <c r="FY5" s="34">
        <f t="shared" si="2"/>
        <v>160</v>
      </c>
      <c r="FZ5" s="34">
        <f t="shared" si="2"/>
        <v>161</v>
      </c>
      <c r="GA5" s="34">
        <f t="shared" si="2"/>
        <v>162</v>
      </c>
      <c r="GB5" s="34">
        <f t="shared" si="2"/>
        <v>163</v>
      </c>
      <c r="GC5" s="34">
        <f t="shared" si="2"/>
        <v>164</v>
      </c>
      <c r="GD5" s="34">
        <f t="shared" si="2"/>
        <v>165</v>
      </c>
      <c r="GE5" s="34">
        <f t="shared" si="2"/>
        <v>166</v>
      </c>
      <c r="GF5" s="34">
        <f t="shared" si="2"/>
        <v>167</v>
      </c>
      <c r="GG5" s="34">
        <f t="shared" si="2"/>
        <v>168</v>
      </c>
      <c r="GH5" s="34">
        <f t="shared" si="2"/>
        <v>169</v>
      </c>
      <c r="GI5" s="34">
        <f t="shared" si="2"/>
        <v>170</v>
      </c>
      <c r="GJ5" s="34">
        <f t="shared" si="2"/>
        <v>171</v>
      </c>
      <c r="GK5" s="34">
        <f t="shared" si="2"/>
        <v>172</v>
      </c>
      <c r="GL5" s="34">
        <f t="shared" si="2"/>
        <v>173</v>
      </c>
      <c r="GM5" s="34">
        <f t="shared" si="2"/>
        <v>174</v>
      </c>
      <c r="GN5" s="34">
        <f t="shared" si="2"/>
        <v>175</v>
      </c>
      <c r="GO5" s="34">
        <f t="shared" si="2"/>
        <v>176</v>
      </c>
      <c r="GP5" s="34">
        <f t="shared" si="2"/>
        <v>177</v>
      </c>
      <c r="GQ5" s="34">
        <f t="shared" si="2"/>
        <v>178</v>
      </c>
      <c r="GR5" s="34">
        <f t="shared" si="2"/>
        <v>179</v>
      </c>
      <c r="GS5" s="34">
        <f t="shared" si="2"/>
        <v>180</v>
      </c>
      <c r="GT5" s="34">
        <f t="shared" si="2"/>
        <v>181</v>
      </c>
      <c r="GU5" s="34">
        <f t="shared" si="2"/>
        <v>182</v>
      </c>
      <c r="GV5" s="34">
        <f t="shared" si="2"/>
        <v>183</v>
      </c>
      <c r="GW5" s="34">
        <f t="shared" si="2"/>
        <v>184</v>
      </c>
      <c r="GX5" s="34">
        <f t="shared" si="2"/>
        <v>185</v>
      </c>
      <c r="GY5" s="34">
        <f t="shared" si="2"/>
        <v>186</v>
      </c>
      <c r="GZ5" s="34">
        <f t="shared" si="2"/>
        <v>187</v>
      </c>
      <c r="HA5" s="34">
        <f t="shared" si="2"/>
        <v>188</v>
      </c>
      <c r="HB5" s="34">
        <f t="shared" si="2"/>
        <v>189</v>
      </c>
      <c r="HC5" s="34">
        <f t="shared" si="2"/>
        <v>190</v>
      </c>
      <c r="HD5" s="34">
        <f t="shared" si="2"/>
        <v>191</v>
      </c>
      <c r="HE5" s="34">
        <f t="shared" si="2"/>
        <v>192</v>
      </c>
      <c r="HF5" s="34">
        <f t="shared" si="2"/>
        <v>193</v>
      </c>
      <c r="HG5" s="34">
        <f t="shared" si="2"/>
        <v>194</v>
      </c>
      <c r="HH5" s="34">
        <f t="shared" si="2"/>
        <v>195</v>
      </c>
      <c r="HI5" s="34">
        <f t="shared" si="2"/>
        <v>196</v>
      </c>
      <c r="HJ5" s="34">
        <f t="shared" si="2"/>
        <v>197</v>
      </c>
      <c r="HK5" s="34">
        <f t="shared" si="2"/>
        <v>198</v>
      </c>
      <c r="HL5" s="34">
        <f t="shared" ref="HL5:IB5" si="3">HK5+1</f>
        <v>199</v>
      </c>
      <c r="HM5" s="34">
        <f t="shared" si="3"/>
        <v>200</v>
      </c>
      <c r="HN5" s="34">
        <f t="shared" si="3"/>
        <v>201</v>
      </c>
      <c r="HO5" s="34">
        <f t="shared" si="3"/>
        <v>202</v>
      </c>
      <c r="HP5" s="34">
        <f t="shared" si="3"/>
        <v>203</v>
      </c>
      <c r="HQ5" s="34">
        <f t="shared" si="3"/>
        <v>204</v>
      </c>
      <c r="HR5" s="34">
        <f t="shared" si="3"/>
        <v>205</v>
      </c>
      <c r="HS5" s="34">
        <f t="shared" si="3"/>
        <v>206</v>
      </c>
      <c r="HT5" s="34">
        <f t="shared" si="3"/>
        <v>207</v>
      </c>
      <c r="HU5" s="34">
        <f t="shared" si="3"/>
        <v>208</v>
      </c>
      <c r="HV5" s="34">
        <f t="shared" si="3"/>
        <v>209</v>
      </c>
      <c r="HW5" s="34">
        <f t="shared" si="3"/>
        <v>210</v>
      </c>
      <c r="HX5" s="34">
        <f t="shared" si="3"/>
        <v>211</v>
      </c>
      <c r="HY5" s="34">
        <f t="shared" si="3"/>
        <v>212</v>
      </c>
      <c r="HZ5" s="34">
        <f t="shared" si="3"/>
        <v>213</v>
      </c>
      <c r="IA5" s="34">
        <f t="shared" si="3"/>
        <v>214</v>
      </c>
      <c r="IB5" s="34">
        <f t="shared" si="3"/>
        <v>215</v>
      </c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</row>
    <row r="6" spans="1:251" ht="18" customHeight="1" x14ac:dyDescent="0.3">
      <c r="C6" s="21"/>
      <c r="D6" s="35" t="s">
        <v>11</v>
      </c>
      <c r="E6" s="338"/>
      <c r="F6" s="339"/>
      <c r="G6" s="340"/>
      <c r="H6" s="36"/>
      <c r="I6" s="37" t="str">
        <f>+D8</f>
        <v>Initial Commitment Month</v>
      </c>
      <c r="J6" s="38"/>
      <c r="K6" s="39">
        <f>+E8</f>
        <v>45777</v>
      </c>
      <c r="L6" s="40" t="str">
        <f>+C15</f>
        <v>[A]</v>
      </c>
      <c r="M6" s="41" t="s">
        <v>12</v>
      </c>
      <c r="N6" s="42"/>
      <c r="O6" s="43">
        <f>E15</f>
        <v>0.16500000000000001</v>
      </c>
      <c r="P6" s="44"/>
      <c r="R6" s="23"/>
      <c r="S6" s="27"/>
      <c r="T6" s="32" t="s">
        <v>13</v>
      </c>
      <c r="U6" s="34"/>
      <c r="V6" s="33">
        <f>DATE(YEAR($U$7+1),MONTH($U$7+1),DAY($U$7+1))</f>
        <v>46023</v>
      </c>
      <c r="W6" s="33">
        <f>DATE(YEAR(V6),MONTH(V6)+1,1)</f>
        <v>46054</v>
      </c>
      <c r="X6" s="33">
        <f>DATE(YEAR(W6),MONTH(W6)+1,1)</f>
        <v>46082</v>
      </c>
      <c r="Y6" s="33">
        <f>DATE(YEAR(X6),MONTH(X6)+1,1)</f>
        <v>46113</v>
      </c>
      <c r="Z6" s="33">
        <f>DATE(YEAR(Y6),MONTH(Y6)+1,1)</f>
        <v>46143</v>
      </c>
      <c r="AA6" s="33">
        <f>DATE(YEAR(Z6),MONTH(Z6)+1,1)</f>
        <v>46174</v>
      </c>
      <c r="AB6" s="33">
        <f t="shared" ref="AB6:CM6" si="4">DATE(YEAR(AA6),MONTH(AA6)+1,1)</f>
        <v>46204</v>
      </c>
      <c r="AC6" s="33">
        <f t="shared" si="4"/>
        <v>46235</v>
      </c>
      <c r="AD6" s="33">
        <f>DATE(YEAR(AC6),MONTH(AC6)+1,1)</f>
        <v>46266</v>
      </c>
      <c r="AE6" s="33">
        <f t="shared" si="4"/>
        <v>46296</v>
      </c>
      <c r="AF6" s="33">
        <f t="shared" si="4"/>
        <v>46327</v>
      </c>
      <c r="AG6" s="33">
        <f t="shared" si="4"/>
        <v>46357</v>
      </c>
      <c r="AH6" s="33">
        <f t="shared" si="4"/>
        <v>46388</v>
      </c>
      <c r="AI6" s="33">
        <f t="shared" si="4"/>
        <v>46419</v>
      </c>
      <c r="AJ6" s="33">
        <f t="shared" si="4"/>
        <v>46447</v>
      </c>
      <c r="AK6" s="33">
        <f t="shared" si="4"/>
        <v>46478</v>
      </c>
      <c r="AL6" s="33">
        <f t="shared" si="4"/>
        <v>46508</v>
      </c>
      <c r="AM6" s="33">
        <f t="shared" si="4"/>
        <v>46539</v>
      </c>
      <c r="AN6" s="33">
        <f t="shared" si="4"/>
        <v>46569</v>
      </c>
      <c r="AO6" s="33">
        <f t="shared" si="4"/>
        <v>46600</v>
      </c>
      <c r="AP6" s="33">
        <f t="shared" si="4"/>
        <v>46631</v>
      </c>
      <c r="AQ6" s="33">
        <f t="shared" si="4"/>
        <v>46661</v>
      </c>
      <c r="AR6" s="33">
        <f t="shared" si="4"/>
        <v>46692</v>
      </c>
      <c r="AS6" s="33">
        <f t="shared" si="4"/>
        <v>46722</v>
      </c>
      <c r="AT6" s="33">
        <f t="shared" si="4"/>
        <v>46753</v>
      </c>
      <c r="AU6" s="33">
        <f t="shared" si="4"/>
        <v>46784</v>
      </c>
      <c r="AV6" s="33">
        <f t="shared" si="4"/>
        <v>46813</v>
      </c>
      <c r="AW6" s="33">
        <f t="shared" si="4"/>
        <v>46844</v>
      </c>
      <c r="AX6" s="33">
        <f t="shared" si="4"/>
        <v>46874</v>
      </c>
      <c r="AY6" s="33">
        <f t="shared" si="4"/>
        <v>46905</v>
      </c>
      <c r="AZ6" s="33">
        <f t="shared" si="4"/>
        <v>46935</v>
      </c>
      <c r="BA6" s="33">
        <f t="shared" si="4"/>
        <v>46966</v>
      </c>
      <c r="BB6" s="33">
        <f t="shared" si="4"/>
        <v>46997</v>
      </c>
      <c r="BC6" s="33">
        <f t="shared" si="4"/>
        <v>47027</v>
      </c>
      <c r="BD6" s="33">
        <f t="shared" si="4"/>
        <v>47058</v>
      </c>
      <c r="BE6" s="33">
        <f t="shared" si="4"/>
        <v>47088</v>
      </c>
      <c r="BF6" s="33">
        <f t="shared" si="4"/>
        <v>47119</v>
      </c>
      <c r="BG6" s="33">
        <f t="shared" si="4"/>
        <v>47150</v>
      </c>
      <c r="BH6" s="33">
        <f t="shared" si="4"/>
        <v>47178</v>
      </c>
      <c r="BI6" s="33">
        <f t="shared" si="4"/>
        <v>47209</v>
      </c>
      <c r="BJ6" s="33">
        <f t="shared" si="4"/>
        <v>47239</v>
      </c>
      <c r="BK6" s="33">
        <f t="shared" si="4"/>
        <v>47270</v>
      </c>
      <c r="BL6" s="33">
        <f t="shared" si="4"/>
        <v>47300</v>
      </c>
      <c r="BM6" s="33">
        <f t="shared" si="4"/>
        <v>47331</v>
      </c>
      <c r="BN6" s="33">
        <f t="shared" si="4"/>
        <v>47362</v>
      </c>
      <c r="BO6" s="33">
        <f t="shared" si="4"/>
        <v>47392</v>
      </c>
      <c r="BP6" s="33">
        <f t="shared" si="4"/>
        <v>47423</v>
      </c>
      <c r="BQ6" s="33">
        <f t="shared" si="4"/>
        <v>47453</v>
      </c>
      <c r="BR6" s="33">
        <f t="shared" si="4"/>
        <v>47484</v>
      </c>
      <c r="BS6" s="33">
        <f t="shared" si="4"/>
        <v>47515</v>
      </c>
      <c r="BT6" s="33">
        <f t="shared" si="4"/>
        <v>47543</v>
      </c>
      <c r="BU6" s="33">
        <f t="shared" si="4"/>
        <v>47574</v>
      </c>
      <c r="BV6" s="33">
        <f t="shared" si="4"/>
        <v>47604</v>
      </c>
      <c r="BW6" s="33">
        <f t="shared" si="4"/>
        <v>47635</v>
      </c>
      <c r="BX6" s="33">
        <f t="shared" si="4"/>
        <v>47665</v>
      </c>
      <c r="BY6" s="33">
        <f t="shared" si="4"/>
        <v>47696</v>
      </c>
      <c r="BZ6" s="33">
        <f t="shared" si="4"/>
        <v>47727</v>
      </c>
      <c r="CA6" s="33">
        <f t="shared" si="4"/>
        <v>47757</v>
      </c>
      <c r="CB6" s="33">
        <f t="shared" si="4"/>
        <v>47788</v>
      </c>
      <c r="CC6" s="33">
        <f t="shared" si="4"/>
        <v>47818</v>
      </c>
      <c r="CD6" s="33">
        <f t="shared" si="4"/>
        <v>47849</v>
      </c>
      <c r="CE6" s="33">
        <f t="shared" si="4"/>
        <v>47880</v>
      </c>
      <c r="CF6" s="33">
        <f t="shared" si="4"/>
        <v>47908</v>
      </c>
      <c r="CG6" s="33">
        <f t="shared" si="4"/>
        <v>47939</v>
      </c>
      <c r="CH6" s="33">
        <f t="shared" si="4"/>
        <v>47969</v>
      </c>
      <c r="CI6" s="33">
        <f t="shared" si="4"/>
        <v>48000</v>
      </c>
      <c r="CJ6" s="33">
        <f t="shared" si="4"/>
        <v>48030</v>
      </c>
      <c r="CK6" s="33">
        <f t="shared" si="4"/>
        <v>48061</v>
      </c>
      <c r="CL6" s="33">
        <f t="shared" si="4"/>
        <v>48092</v>
      </c>
      <c r="CM6" s="33">
        <f t="shared" si="4"/>
        <v>48122</v>
      </c>
      <c r="CN6" s="33">
        <f t="shared" ref="CN6:EY6" si="5">DATE(YEAR(CM6),MONTH(CM6)+1,1)</f>
        <v>48153</v>
      </c>
      <c r="CO6" s="33">
        <f t="shared" si="5"/>
        <v>48183</v>
      </c>
      <c r="CP6" s="33">
        <f t="shared" si="5"/>
        <v>48214</v>
      </c>
      <c r="CQ6" s="33">
        <f t="shared" si="5"/>
        <v>48245</v>
      </c>
      <c r="CR6" s="33">
        <f t="shared" si="5"/>
        <v>48274</v>
      </c>
      <c r="CS6" s="33">
        <f t="shared" si="5"/>
        <v>48305</v>
      </c>
      <c r="CT6" s="33">
        <f t="shared" si="5"/>
        <v>48335</v>
      </c>
      <c r="CU6" s="33">
        <f t="shared" si="5"/>
        <v>48366</v>
      </c>
      <c r="CV6" s="33">
        <f t="shared" si="5"/>
        <v>48396</v>
      </c>
      <c r="CW6" s="33">
        <f t="shared" si="5"/>
        <v>48427</v>
      </c>
      <c r="CX6" s="33">
        <f t="shared" si="5"/>
        <v>48458</v>
      </c>
      <c r="CY6" s="33">
        <f t="shared" si="5"/>
        <v>48488</v>
      </c>
      <c r="CZ6" s="33">
        <f t="shared" si="5"/>
        <v>48519</v>
      </c>
      <c r="DA6" s="33">
        <f t="shared" si="5"/>
        <v>48549</v>
      </c>
      <c r="DB6" s="33">
        <f t="shared" si="5"/>
        <v>48580</v>
      </c>
      <c r="DC6" s="33">
        <f t="shared" si="5"/>
        <v>48611</v>
      </c>
      <c r="DD6" s="33">
        <f t="shared" si="5"/>
        <v>48639</v>
      </c>
      <c r="DE6" s="33">
        <f t="shared" si="5"/>
        <v>48670</v>
      </c>
      <c r="DF6" s="33">
        <f t="shared" si="5"/>
        <v>48700</v>
      </c>
      <c r="DG6" s="33">
        <f t="shared" si="5"/>
        <v>48731</v>
      </c>
      <c r="DH6" s="33">
        <f t="shared" si="5"/>
        <v>48761</v>
      </c>
      <c r="DI6" s="33">
        <f t="shared" si="5"/>
        <v>48792</v>
      </c>
      <c r="DJ6" s="33">
        <f t="shared" si="5"/>
        <v>48823</v>
      </c>
      <c r="DK6" s="33">
        <f t="shared" si="5"/>
        <v>48853</v>
      </c>
      <c r="DL6" s="33">
        <f t="shared" si="5"/>
        <v>48884</v>
      </c>
      <c r="DM6" s="33">
        <f t="shared" si="5"/>
        <v>48914</v>
      </c>
      <c r="DN6" s="33">
        <f t="shared" si="5"/>
        <v>48945</v>
      </c>
      <c r="DO6" s="33">
        <f t="shared" si="5"/>
        <v>48976</v>
      </c>
      <c r="DP6" s="33">
        <f t="shared" si="5"/>
        <v>49004</v>
      </c>
      <c r="DQ6" s="33">
        <f t="shared" si="5"/>
        <v>49035</v>
      </c>
      <c r="DR6" s="33">
        <f t="shared" si="5"/>
        <v>49065</v>
      </c>
      <c r="DS6" s="33">
        <f t="shared" si="5"/>
        <v>49096</v>
      </c>
      <c r="DT6" s="33">
        <f t="shared" si="5"/>
        <v>49126</v>
      </c>
      <c r="DU6" s="33">
        <f t="shared" si="5"/>
        <v>49157</v>
      </c>
      <c r="DV6" s="33">
        <f t="shared" si="5"/>
        <v>49188</v>
      </c>
      <c r="DW6" s="33">
        <f t="shared" si="5"/>
        <v>49218</v>
      </c>
      <c r="DX6" s="33">
        <f t="shared" si="5"/>
        <v>49249</v>
      </c>
      <c r="DY6" s="33">
        <f t="shared" si="5"/>
        <v>49279</v>
      </c>
      <c r="DZ6" s="33">
        <f t="shared" si="5"/>
        <v>49310</v>
      </c>
      <c r="EA6" s="33">
        <f t="shared" si="5"/>
        <v>49341</v>
      </c>
      <c r="EB6" s="33">
        <f t="shared" si="5"/>
        <v>49369</v>
      </c>
      <c r="EC6" s="33">
        <f t="shared" si="5"/>
        <v>49400</v>
      </c>
      <c r="ED6" s="33">
        <f t="shared" si="5"/>
        <v>49430</v>
      </c>
      <c r="EE6" s="33">
        <f t="shared" si="5"/>
        <v>49461</v>
      </c>
      <c r="EF6" s="33">
        <f t="shared" si="5"/>
        <v>49491</v>
      </c>
      <c r="EG6" s="33">
        <f t="shared" si="5"/>
        <v>49522</v>
      </c>
      <c r="EH6" s="33">
        <f t="shared" si="5"/>
        <v>49553</v>
      </c>
      <c r="EI6" s="33">
        <f t="shared" si="5"/>
        <v>49583</v>
      </c>
      <c r="EJ6" s="33">
        <f t="shared" si="5"/>
        <v>49614</v>
      </c>
      <c r="EK6" s="33">
        <f t="shared" si="5"/>
        <v>49644</v>
      </c>
      <c r="EL6" s="33">
        <f t="shared" si="5"/>
        <v>49675</v>
      </c>
      <c r="EM6" s="33">
        <f t="shared" si="5"/>
        <v>49706</v>
      </c>
      <c r="EN6" s="33">
        <f t="shared" si="5"/>
        <v>49735</v>
      </c>
      <c r="EO6" s="33">
        <f t="shared" si="5"/>
        <v>49766</v>
      </c>
      <c r="EP6" s="33">
        <f t="shared" si="5"/>
        <v>49796</v>
      </c>
      <c r="EQ6" s="33">
        <f t="shared" si="5"/>
        <v>49827</v>
      </c>
      <c r="ER6" s="33">
        <f t="shared" si="5"/>
        <v>49857</v>
      </c>
      <c r="ES6" s="33">
        <f t="shared" si="5"/>
        <v>49888</v>
      </c>
      <c r="ET6" s="33">
        <f t="shared" si="5"/>
        <v>49919</v>
      </c>
      <c r="EU6" s="33">
        <f t="shared" si="5"/>
        <v>49949</v>
      </c>
      <c r="EV6" s="33">
        <f t="shared" si="5"/>
        <v>49980</v>
      </c>
      <c r="EW6" s="33">
        <f t="shared" si="5"/>
        <v>50010</v>
      </c>
      <c r="EX6" s="33">
        <f t="shared" si="5"/>
        <v>50041</v>
      </c>
      <c r="EY6" s="33">
        <f t="shared" si="5"/>
        <v>50072</v>
      </c>
      <c r="EZ6" s="33">
        <f t="shared" ref="EZ6:HK6" si="6">DATE(YEAR(EY6),MONTH(EY6)+1,1)</f>
        <v>50100</v>
      </c>
      <c r="FA6" s="33">
        <f t="shared" si="6"/>
        <v>50131</v>
      </c>
      <c r="FB6" s="33">
        <f t="shared" si="6"/>
        <v>50161</v>
      </c>
      <c r="FC6" s="33">
        <f t="shared" si="6"/>
        <v>50192</v>
      </c>
      <c r="FD6" s="33">
        <f t="shared" si="6"/>
        <v>50222</v>
      </c>
      <c r="FE6" s="33">
        <f t="shared" si="6"/>
        <v>50253</v>
      </c>
      <c r="FF6" s="33">
        <f t="shared" si="6"/>
        <v>50284</v>
      </c>
      <c r="FG6" s="33">
        <f t="shared" si="6"/>
        <v>50314</v>
      </c>
      <c r="FH6" s="33">
        <f t="shared" si="6"/>
        <v>50345</v>
      </c>
      <c r="FI6" s="33">
        <f t="shared" si="6"/>
        <v>50375</v>
      </c>
      <c r="FJ6" s="33">
        <f t="shared" si="6"/>
        <v>50406</v>
      </c>
      <c r="FK6" s="33">
        <f t="shared" si="6"/>
        <v>50437</v>
      </c>
      <c r="FL6" s="33">
        <f t="shared" si="6"/>
        <v>50465</v>
      </c>
      <c r="FM6" s="33">
        <f t="shared" si="6"/>
        <v>50496</v>
      </c>
      <c r="FN6" s="33">
        <f t="shared" si="6"/>
        <v>50526</v>
      </c>
      <c r="FO6" s="33">
        <f t="shared" si="6"/>
        <v>50557</v>
      </c>
      <c r="FP6" s="33">
        <f t="shared" si="6"/>
        <v>50587</v>
      </c>
      <c r="FQ6" s="33">
        <f t="shared" si="6"/>
        <v>50618</v>
      </c>
      <c r="FR6" s="33">
        <f t="shared" si="6"/>
        <v>50649</v>
      </c>
      <c r="FS6" s="33">
        <f t="shared" si="6"/>
        <v>50679</v>
      </c>
      <c r="FT6" s="33">
        <f t="shared" si="6"/>
        <v>50710</v>
      </c>
      <c r="FU6" s="33">
        <f t="shared" si="6"/>
        <v>50740</v>
      </c>
      <c r="FV6" s="33">
        <f t="shared" si="6"/>
        <v>50771</v>
      </c>
      <c r="FW6" s="33">
        <f t="shared" si="6"/>
        <v>50802</v>
      </c>
      <c r="FX6" s="33">
        <f t="shared" si="6"/>
        <v>50830</v>
      </c>
      <c r="FY6" s="33">
        <f t="shared" si="6"/>
        <v>50861</v>
      </c>
      <c r="FZ6" s="33">
        <f t="shared" si="6"/>
        <v>50891</v>
      </c>
      <c r="GA6" s="33">
        <f t="shared" si="6"/>
        <v>50922</v>
      </c>
      <c r="GB6" s="33">
        <f t="shared" si="6"/>
        <v>50952</v>
      </c>
      <c r="GC6" s="33">
        <f t="shared" si="6"/>
        <v>50983</v>
      </c>
      <c r="GD6" s="33">
        <f t="shared" si="6"/>
        <v>51014</v>
      </c>
      <c r="GE6" s="33">
        <f t="shared" si="6"/>
        <v>51044</v>
      </c>
      <c r="GF6" s="33">
        <f t="shared" si="6"/>
        <v>51075</v>
      </c>
      <c r="GG6" s="33">
        <f t="shared" si="6"/>
        <v>51105</v>
      </c>
      <c r="GH6" s="33">
        <f t="shared" si="6"/>
        <v>51136</v>
      </c>
      <c r="GI6" s="33">
        <f t="shared" si="6"/>
        <v>51167</v>
      </c>
      <c r="GJ6" s="33">
        <f t="shared" si="6"/>
        <v>51196</v>
      </c>
      <c r="GK6" s="33">
        <f t="shared" si="6"/>
        <v>51227</v>
      </c>
      <c r="GL6" s="33">
        <f t="shared" si="6"/>
        <v>51257</v>
      </c>
      <c r="GM6" s="33">
        <f t="shared" si="6"/>
        <v>51288</v>
      </c>
      <c r="GN6" s="33">
        <f t="shared" si="6"/>
        <v>51318</v>
      </c>
      <c r="GO6" s="33">
        <f t="shared" si="6"/>
        <v>51349</v>
      </c>
      <c r="GP6" s="33">
        <f t="shared" si="6"/>
        <v>51380</v>
      </c>
      <c r="GQ6" s="33">
        <f t="shared" si="6"/>
        <v>51410</v>
      </c>
      <c r="GR6" s="33">
        <f t="shared" si="6"/>
        <v>51441</v>
      </c>
      <c r="GS6" s="33">
        <f t="shared" si="6"/>
        <v>51471</v>
      </c>
      <c r="GT6" s="33">
        <f t="shared" si="6"/>
        <v>51502</v>
      </c>
      <c r="GU6" s="33">
        <f t="shared" si="6"/>
        <v>51533</v>
      </c>
      <c r="GV6" s="33">
        <f t="shared" si="6"/>
        <v>51561</v>
      </c>
      <c r="GW6" s="33">
        <f t="shared" si="6"/>
        <v>51592</v>
      </c>
      <c r="GX6" s="33">
        <f t="shared" si="6"/>
        <v>51622</v>
      </c>
      <c r="GY6" s="33">
        <f t="shared" si="6"/>
        <v>51653</v>
      </c>
      <c r="GZ6" s="33">
        <f t="shared" si="6"/>
        <v>51683</v>
      </c>
      <c r="HA6" s="33">
        <f t="shared" si="6"/>
        <v>51714</v>
      </c>
      <c r="HB6" s="33">
        <f t="shared" si="6"/>
        <v>51745</v>
      </c>
      <c r="HC6" s="33">
        <f t="shared" si="6"/>
        <v>51775</v>
      </c>
      <c r="HD6" s="33">
        <f t="shared" si="6"/>
        <v>51806</v>
      </c>
      <c r="HE6" s="33">
        <f t="shared" si="6"/>
        <v>51836</v>
      </c>
      <c r="HF6" s="33">
        <f t="shared" si="6"/>
        <v>51867</v>
      </c>
      <c r="HG6" s="33">
        <f t="shared" si="6"/>
        <v>51898</v>
      </c>
      <c r="HH6" s="33">
        <f t="shared" si="6"/>
        <v>51926</v>
      </c>
      <c r="HI6" s="33">
        <f t="shared" si="6"/>
        <v>51957</v>
      </c>
      <c r="HJ6" s="33">
        <f t="shared" si="6"/>
        <v>51987</v>
      </c>
      <c r="HK6" s="33">
        <f t="shared" si="6"/>
        <v>52018</v>
      </c>
      <c r="HL6" s="33">
        <f t="shared" ref="HL6:IB6" si="7">DATE(YEAR(HK6),MONTH(HK6)+1,1)</f>
        <v>52048</v>
      </c>
      <c r="HM6" s="33">
        <f t="shared" si="7"/>
        <v>52079</v>
      </c>
      <c r="HN6" s="33">
        <f t="shared" si="7"/>
        <v>52110</v>
      </c>
      <c r="HO6" s="33">
        <f t="shared" si="7"/>
        <v>52140</v>
      </c>
      <c r="HP6" s="33">
        <f t="shared" si="7"/>
        <v>52171</v>
      </c>
      <c r="HQ6" s="33">
        <f t="shared" si="7"/>
        <v>52201</v>
      </c>
      <c r="HR6" s="33">
        <f t="shared" si="7"/>
        <v>52232</v>
      </c>
      <c r="HS6" s="33">
        <f t="shared" si="7"/>
        <v>52263</v>
      </c>
      <c r="HT6" s="33">
        <f t="shared" si="7"/>
        <v>52291</v>
      </c>
      <c r="HU6" s="33">
        <f t="shared" si="7"/>
        <v>52322</v>
      </c>
      <c r="HV6" s="33">
        <f t="shared" si="7"/>
        <v>52352</v>
      </c>
      <c r="HW6" s="33">
        <f t="shared" si="7"/>
        <v>52383</v>
      </c>
      <c r="HX6" s="33">
        <f t="shared" si="7"/>
        <v>52413</v>
      </c>
      <c r="HY6" s="33">
        <f t="shared" si="7"/>
        <v>52444</v>
      </c>
      <c r="HZ6" s="33">
        <f t="shared" si="7"/>
        <v>52475</v>
      </c>
      <c r="IA6" s="33">
        <f t="shared" si="7"/>
        <v>52505</v>
      </c>
      <c r="IB6" s="33">
        <f t="shared" si="7"/>
        <v>52536</v>
      </c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</row>
    <row r="7" spans="1:251" ht="18" customHeight="1" x14ac:dyDescent="0.3">
      <c r="C7" s="21"/>
      <c r="D7" s="45"/>
      <c r="E7" s="46" t="s">
        <v>14</v>
      </c>
      <c r="F7" s="47"/>
      <c r="G7" s="48"/>
      <c r="H7" s="47"/>
      <c r="I7" s="49" t="str">
        <f>+D9</f>
        <v>Investment End Date</v>
      </c>
      <c r="J7" s="50" t="str">
        <f>IFERROR("~ " &amp; TEXT(YEARFRAC($K$6,K7),"0.0"),"NA")</f>
        <v>~ 2.2</v>
      </c>
      <c r="K7" s="51">
        <f>$E9</f>
        <v>46568</v>
      </c>
      <c r="L7" s="40" t="str">
        <f>+C20</f>
        <v>[B]</v>
      </c>
      <c r="M7" s="52" t="s">
        <v>15</v>
      </c>
      <c r="N7" s="42"/>
      <c r="O7" s="53">
        <f>-E20</f>
        <v>-7.4999999999999997E-3</v>
      </c>
      <c r="P7" s="44"/>
      <c r="R7" s="25"/>
      <c r="S7" s="27"/>
      <c r="T7" s="32" t="s">
        <v>16</v>
      </c>
      <c r="U7" s="33">
        <f>$F$1</f>
        <v>46022</v>
      </c>
      <c r="V7" s="33">
        <f t="shared" ref="V7:CG7" si="8">DATE(YEAR(U7),MONTH(U7)+2,0)</f>
        <v>46053</v>
      </c>
      <c r="W7" s="33">
        <f t="shared" si="8"/>
        <v>46081</v>
      </c>
      <c r="X7" s="33">
        <f t="shared" si="8"/>
        <v>46112</v>
      </c>
      <c r="Y7" s="33">
        <f t="shared" si="8"/>
        <v>46142</v>
      </c>
      <c r="Z7" s="33">
        <f t="shared" si="8"/>
        <v>46173</v>
      </c>
      <c r="AA7" s="33">
        <f t="shared" si="8"/>
        <v>46203</v>
      </c>
      <c r="AB7" s="33">
        <f t="shared" si="8"/>
        <v>46234</v>
      </c>
      <c r="AC7" s="33">
        <f t="shared" si="8"/>
        <v>46265</v>
      </c>
      <c r="AD7" s="33">
        <f>DATE(YEAR(AC7),MONTH(AC7)+2,0)</f>
        <v>46295</v>
      </c>
      <c r="AE7" s="33">
        <f t="shared" si="8"/>
        <v>46326</v>
      </c>
      <c r="AF7" s="33">
        <f t="shared" si="8"/>
        <v>46356</v>
      </c>
      <c r="AG7" s="33">
        <f t="shared" si="8"/>
        <v>46387</v>
      </c>
      <c r="AH7" s="33">
        <f t="shared" si="8"/>
        <v>46418</v>
      </c>
      <c r="AI7" s="33">
        <f t="shared" si="8"/>
        <v>46446</v>
      </c>
      <c r="AJ7" s="33">
        <f t="shared" si="8"/>
        <v>46477</v>
      </c>
      <c r="AK7" s="33">
        <f t="shared" si="8"/>
        <v>46507</v>
      </c>
      <c r="AL7" s="33">
        <f t="shared" si="8"/>
        <v>46538</v>
      </c>
      <c r="AM7" s="33">
        <f t="shared" si="8"/>
        <v>46568</v>
      </c>
      <c r="AN7" s="33">
        <f t="shared" si="8"/>
        <v>46599</v>
      </c>
      <c r="AO7" s="33">
        <f t="shared" si="8"/>
        <v>46630</v>
      </c>
      <c r="AP7" s="33">
        <f t="shared" si="8"/>
        <v>46660</v>
      </c>
      <c r="AQ7" s="33">
        <f t="shared" si="8"/>
        <v>46691</v>
      </c>
      <c r="AR7" s="33">
        <f t="shared" si="8"/>
        <v>46721</v>
      </c>
      <c r="AS7" s="33">
        <f t="shared" si="8"/>
        <v>46752</v>
      </c>
      <c r="AT7" s="33">
        <f t="shared" si="8"/>
        <v>46783</v>
      </c>
      <c r="AU7" s="33">
        <f t="shared" si="8"/>
        <v>46812</v>
      </c>
      <c r="AV7" s="33">
        <f t="shared" si="8"/>
        <v>46843</v>
      </c>
      <c r="AW7" s="33">
        <f t="shared" si="8"/>
        <v>46873</v>
      </c>
      <c r="AX7" s="33">
        <f t="shared" si="8"/>
        <v>46904</v>
      </c>
      <c r="AY7" s="33">
        <f t="shared" si="8"/>
        <v>46934</v>
      </c>
      <c r="AZ7" s="33">
        <f t="shared" si="8"/>
        <v>46965</v>
      </c>
      <c r="BA7" s="33">
        <f t="shared" si="8"/>
        <v>46996</v>
      </c>
      <c r="BB7" s="33">
        <f t="shared" si="8"/>
        <v>47026</v>
      </c>
      <c r="BC7" s="33">
        <f t="shared" si="8"/>
        <v>47057</v>
      </c>
      <c r="BD7" s="33">
        <f t="shared" si="8"/>
        <v>47087</v>
      </c>
      <c r="BE7" s="33">
        <f t="shared" si="8"/>
        <v>47118</v>
      </c>
      <c r="BF7" s="33">
        <f t="shared" si="8"/>
        <v>47149</v>
      </c>
      <c r="BG7" s="33">
        <f t="shared" si="8"/>
        <v>47177</v>
      </c>
      <c r="BH7" s="33">
        <f t="shared" si="8"/>
        <v>47208</v>
      </c>
      <c r="BI7" s="33">
        <f t="shared" si="8"/>
        <v>47238</v>
      </c>
      <c r="BJ7" s="33">
        <f t="shared" si="8"/>
        <v>47269</v>
      </c>
      <c r="BK7" s="33">
        <f t="shared" si="8"/>
        <v>47299</v>
      </c>
      <c r="BL7" s="33">
        <f t="shared" si="8"/>
        <v>47330</v>
      </c>
      <c r="BM7" s="33">
        <f t="shared" si="8"/>
        <v>47361</v>
      </c>
      <c r="BN7" s="33">
        <f t="shared" si="8"/>
        <v>47391</v>
      </c>
      <c r="BO7" s="33">
        <f t="shared" si="8"/>
        <v>47422</v>
      </c>
      <c r="BP7" s="33">
        <f t="shared" si="8"/>
        <v>47452</v>
      </c>
      <c r="BQ7" s="33">
        <f t="shared" si="8"/>
        <v>47483</v>
      </c>
      <c r="BR7" s="33">
        <f t="shared" si="8"/>
        <v>47514</v>
      </c>
      <c r="BS7" s="33">
        <f t="shared" si="8"/>
        <v>47542</v>
      </c>
      <c r="BT7" s="33">
        <f t="shared" si="8"/>
        <v>47573</v>
      </c>
      <c r="BU7" s="33">
        <f t="shared" si="8"/>
        <v>47603</v>
      </c>
      <c r="BV7" s="33">
        <f t="shared" si="8"/>
        <v>47634</v>
      </c>
      <c r="BW7" s="33">
        <f t="shared" si="8"/>
        <v>47664</v>
      </c>
      <c r="BX7" s="33">
        <f t="shared" si="8"/>
        <v>47695</v>
      </c>
      <c r="BY7" s="33">
        <f t="shared" si="8"/>
        <v>47726</v>
      </c>
      <c r="BZ7" s="33">
        <f t="shared" si="8"/>
        <v>47756</v>
      </c>
      <c r="CA7" s="33">
        <f t="shared" si="8"/>
        <v>47787</v>
      </c>
      <c r="CB7" s="33">
        <f t="shared" si="8"/>
        <v>47817</v>
      </c>
      <c r="CC7" s="33">
        <f t="shared" si="8"/>
        <v>47848</v>
      </c>
      <c r="CD7" s="33">
        <f t="shared" si="8"/>
        <v>47879</v>
      </c>
      <c r="CE7" s="33">
        <f t="shared" si="8"/>
        <v>47907</v>
      </c>
      <c r="CF7" s="33">
        <f t="shared" si="8"/>
        <v>47938</v>
      </c>
      <c r="CG7" s="33">
        <f t="shared" si="8"/>
        <v>47968</v>
      </c>
      <c r="CH7" s="33">
        <f t="shared" ref="CH7:ES7" si="9">DATE(YEAR(CG7),MONTH(CG7)+2,0)</f>
        <v>47999</v>
      </c>
      <c r="CI7" s="33">
        <f t="shared" si="9"/>
        <v>48029</v>
      </c>
      <c r="CJ7" s="33">
        <f t="shared" si="9"/>
        <v>48060</v>
      </c>
      <c r="CK7" s="33">
        <f t="shared" si="9"/>
        <v>48091</v>
      </c>
      <c r="CL7" s="33">
        <f t="shared" si="9"/>
        <v>48121</v>
      </c>
      <c r="CM7" s="33">
        <f t="shared" si="9"/>
        <v>48152</v>
      </c>
      <c r="CN7" s="33">
        <f t="shared" si="9"/>
        <v>48182</v>
      </c>
      <c r="CO7" s="33">
        <f t="shared" si="9"/>
        <v>48213</v>
      </c>
      <c r="CP7" s="33">
        <f t="shared" si="9"/>
        <v>48244</v>
      </c>
      <c r="CQ7" s="33">
        <f t="shared" si="9"/>
        <v>48273</v>
      </c>
      <c r="CR7" s="33">
        <f t="shared" si="9"/>
        <v>48304</v>
      </c>
      <c r="CS7" s="33">
        <f t="shared" si="9"/>
        <v>48334</v>
      </c>
      <c r="CT7" s="33">
        <f t="shared" si="9"/>
        <v>48365</v>
      </c>
      <c r="CU7" s="33">
        <f t="shared" si="9"/>
        <v>48395</v>
      </c>
      <c r="CV7" s="33">
        <f t="shared" si="9"/>
        <v>48426</v>
      </c>
      <c r="CW7" s="33">
        <f t="shared" si="9"/>
        <v>48457</v>
      </c>
      <c r="CX7" s="33">
        <f t="shared" si="9"/>
        <v>48487</v>
      </c>
      <c r="CY7" s="33">
        <f t="shared" si="9"/>
        <v>48518</v>
      </c>
      <c r="CZ7" s="33">
        <f t="shared" si="9"/>
        <v>48548</v>
      </c>
      <c r="DA7" s="33">
        <f t="shared" si="9"/>
        <v>48579</v>
      </c>
      <c r="DB7" s="33">
        <f t="shared" si="9"/>
        <v>48610</v>
      </c>
      <c r="DC7" s="33">
        <f t="shared" si="9"/>
        <v>48638</v>
      </c>
      <c r="DD7" s="33">
        <f t="shared" si="9"/>
        <v>48669</v>
      </c>
      <c r="DE7" s="33">
        <f t="shared" si="9"/>
        <v>48699</v>
      </c>
      <c r="DF7" s="33">
        <f t="shared" si="9"/>
        <v>48730</v>
      </c>
      <c r="DG7" s="33">
        <f t="shared" si="9"/>
        <v>48760</v>
      </c>
      <c r="DH7" s="33">
        <f t="shared" si="9"/>
        <v>48791</v>
      </c>
      <c r="DI7" s="33">
        <f t="shared" si="9"/>
        <v>48822</v>
      </c>
      <c r="DJ7" s="33">
        <f t="shared" si="9"/>
        <v>48852</v>
      </c>
      <c r="DK7" s="33">
        <f t="shared" si="9"/>
        <v>48883</v>
      </c>
      <c r="DL7" s="33">
        <f t="shared" si="9"/>
        <v>48913</v>
      </c>
      <c r="DM7" s="33">
        <f t="shared" si="9"/>
        <v>48944</v>
      </c>
      <c r="DN7" s="33">
        <f t="shared" si="9"/>
        <v>48975</v>
      </c>
      <c r="DO7" s="33">
        <f t="shared" si="9"/>
        <v>49003</v>
      </c>
      <c r="DP7" s="33">
        <f t="shared" si="9"/>
        <v>49034</v>
      </c>
      <c r="DQ7" s="33">
        <f t="shared" si="9"/>
        <v>49064</v>
      </c>
      <c r="DR7" s="33">
        <f t="shared" si="9"/>
        <v>49095</v>
      </c>
      <c r="DS7" s="33">
        <f t="shared" si="9"/>
        <v>49125</v>
      </c>
      <c r="DT7" s="33">
        <f t="shared" si="9"/>
        <v>49156</v>
      </c>
      <c r="DU7" s="33">
        <f t="shared" si="9"/>
        <v>49187</v>
      </c>
      <c r="DV7" s="33">
        <f t="shared" si="9"/>
        <v>49217</v>
      </c>
      <c r="DW7" s="33">
        <f t="shared" si="9"/>
        <v>49248</v>
      </c>
      <c r="DX7" s="33">
        <f t="shared" si="9"/>
        <v>49278</v>
      </c>
      <c r="DY7" s="33">
        <f t="shared" si="9"/>
        <v>49309</v>
      </c>
      <c r="DZ7" s="33">
        <f t="shared" si="9"/>
        <v>49340</v>
      </c>
      <c r="EA7" s="33">
        <f t="shared" si="9"/>
        <v>49368</v>
      </c>
      <c r="EB7" s="33">
        <f t="shared" si="9"/>
        <v>49399</v>
      </c>
      <c r="EC7" s="33">
        <f t="shared" si="9"/>
        <v>49429</v>
      </c>
      <c r="ED7" s="33">
        <f t="shared" si="9"/>
        <v>49460</v>
      </c>
      <c r="EE7" s="33">
        <f t="shared" si="9"/>
        <v>49490</v>
      </c>
      <c r="EF7" s="33">
        <f t="shared" si="9"/>
        <v>49521</v>
      </c>
      <c r="EG7" s="33">
        <f t="shared" si="9"/>
        <v>49552</v>
      </c>
      <c r="EH7" s="33">
        <f t="shared" si="9"/>
        <v>49582</v>
      </c>
      <c r="EI7" s="33">
        <f t="shared" si="9"/>
        <v>49613</v>
      </c>
      <c r="EJ7" s="33">
        <f t="shared" si="9"/>
        <v>49643</v>
      </c>
      <c r="EK7" s="33">
        <f t="shared" si="9"/>
        <v>49674</v>
      </c>
      <c r="EL7" s="33">
        <f t="shared" si="9"/>
        <v>49705</v>
      </c>
      <c r="EM7" s="33">
        <f t="shared" si="9"/>
        <v>49734</v>
      </c>
      <c r="EN7" s="33">
        <f t="shared" si="9"/>
        <v>49765</v>
      </c>
      <c r="EO7" s="33">
        <f t="shared" si="9"/>
        <v>49795</v>
      </c>
      <c r="EP7" s="33">
        <f t="shared" si="9"/>
        <v>49826</v>
      </c>
      <c r="EQ7" s="33">
        <f t="shared" si="9"/>
        <v>49856</v>
      </c>
      <c r="ER7" s="33">
        <f t="shared" si="9"/>
        <v>49887</v>
      </c>
      <c r="ES7" s="33">
        <f t="shared" si="9"/>
        <v>49918</v>
      </c>
      <c r="ET7" s="33">
        <f t="shared" ref="ET7:HE7" si="10">DATE(YEAR(ES7),MONTH(ES7)+2,0)</f>
        <v>49948</v>
      </c>
      <c r="EU7" s="33">
        <f t="shared" si="10"/>
        <v>49979</v>
      </c>
      <c r="EV7" s="33">
        <f t="shared" si="10"/>
        <v>50009</v>
      </c>
      <c r="EW7" s="33">
        <f t="shared" si="10"/>
        <v>50040</v>
      </c>
      <c r="EX7" s="33">
        <f t="shared" si="10"/>
        <v>50071</v>
      </c>
      <c r="EY7" s="33">
        <f t="shared" si="10"/>
        <v>50099</v>
      </c>
      <c r="EZ7" s="33">
        <f t="shared" si="10"/>
        <v>50130</v>
      </c>
      <c r="FA7" s="33">
        <f t="shared" si="10"/>
        <v>50160</v>
      </c>
      <c r="FB7" s="33">
        <f t="shared" si="10"/>
        <v>50191</v>
      </c>
      <c r="FC7" s="33">
        <f t="shared" si="10"/>
        <v>50221</v>
      </c>
      <c r="FD7" s="33">
        <f t="shared" si="10"/>
        <v>50252</v>
      </c>
      <c r="FE7" s="33">
        <f t="shared" si="10"/>
        <v>50283</v>
      </c>
      <c r="FF7" s="33">
        <f t="shared" si="10"/>
        <v>50313</v>
      </c>
      <c r="FG7" s="33">
        <f t="shared" si="10"/>
        <v>50344</v>
      </c>
      <c r="FH7" s="33">
        <f t="shared" si="10"/>
        <v>50374</v>
      </c>
      <c r="FI7" s="33">
        <f t="shared" si="10"/>
        <v>50405</v>
      </c>
      <c r="FJ7" s="33">
        <f t="shared" si="10"/>
        <v>50436</v>
      </c>
      <c r="FK7" s="33">
        <f t="shared" si="10"/>
        <v>50464</v>
      </c>
      <c r="FL7" s="33">
        <f t="shared" si="10"/>
        <v>50495</v>
      </c>
      <c r="FM7" s="33">
        <f t="shared" si="10"/>
        <v>50525</v>
      </c>
      <c r="FN7" s="33">
        <f t="shared" si="10"/>
        <v>50556</v>
      </c>
      <c r="FO7" s="33">
        <f t="shared" si="10"/>
        <v>50586</v>
      </c>
      <c r="FP7" s="33">
        <f t="shared" si="10"/>
        <v>50617</v>
      </c>
      <c r="FQ7" s="33">
        <f t="shared" si="10"/>
        <v>50648</v>
      </c>
      <c r="FR7" s="33">
        <f t="shared" si="10"/>
        <v>50678</v>
      </c>
      <c r="FS7" s="33">
        <f t="shared" si="10"/>
        <v>50709</v>
      </c>
      <c r="FT7" s="33">
        <f t="shared" si="10"/>
        <v>50739</v>
      </c>
      <c r="FU7" s="33">
        <f t="shared" si="10"/>
        <v>50770</v>
      </c>
      <c r="FV7" s="33">
        <f t="shared" si="10"/>
        <v>50801</v>
      </c>
      <c r="FW7" s="33">
        <f t="shared" si="10"/>
        <v>50829</v>
      </c>
      <c r="FX7" s="33">
        <f t="shared" si="10"/>
        <v>50860</v>
      </c>
      <c r="FY7" s="33">
        <f t="shared" si="10"/>
        <v>50890</v>
      </c>
      <c r="FZ7" s="33">
        <f t="shared" si="10"/>
        <v>50921</v>
      </c>
      <c r="GA7" s="33">
        <f t="shared" si="10"/>
        <v>50951</v>
      </c>
      <c r="GB7" s="33">
        <f t="shared" si="10"/>
        <v>50982</v>
      </c>
      <c r="GC7" s="33">
        <f t="shared" si="10"/>
        <v>51013</v>
      </c>
      <c r="GD7" s="33">
        <f t="shared" si="10"/>
        <v>51043</v>
      </c>
      <c r="GE7" s="33">
        <f t="shared" si="10"/>
        <v>51074</v>
      </c>
      <c r="GF7" s="33">
        <f t="shared" si="10"/>
        <v>51104</v>
      </c>
      <c r="GG7" s="33">
        <f t="shared" si="10"/>
        <v>51135</v>
      </c>
      <c r="GH7" s="33">
        <f t="shared" si="10"/>
        <v>51166</v>
      </c>
      <c r="GI7" s="33">
        <f t="shared" si="10"/>
        <v>51195</v>
      </c>
      <c r="GJ7" s="33">
        <f t="shared" si="10"/>
        <v>51226</v>
      </c>
      <c r="GK7" s="33">
        <f t="shared" si="10"/>
        <v>51256</v>
      </c>
      <c r="GL7" s="33">
        <f t="shared" si="10"/>
        <v>51287</v>
      </c>
      <c r="GM7" s="33">
        <f t="shared" si="10"/>
        <v>51317</v>
      </c>
      <c r="GN7" s="33">
        <f t="shared" si="10"/>
        <v>51348</v>
      </c>
      <c r="GO7" s="33">
        <f t="shared" si="10"/>
        <v>51379</v>
      </c>
      <c r="GP7" s="33">
        <f t="shared" si="10"/>
        <v>51409</v>
      </c>
      <c r="GQ7" s="33">
        <f t="shared" si="10"/>
        <v>51440</v>
      </c>
      <c r="GR7" s="33">
        <f t="shared" si="10"/>
        <v>51470</v>
      </c>
      <c r="GS7" s="33">
        <f t="shared" si="10"/>
        <v>51501</v>
      </c>
      <c r="GT7" s="33">
        <f t="shared" si="10"/>
        <v>51532</v>
      </c>
      <c r="GU7" s="33">
        <f t="shared" si="10"/>
        <v>51560</v>
      </c>
      <c r="GV7" s="33">
        <f t="shared" si="10"/>
        <v>51591</v>
      </c>
      <c r="GW7" s="33">
        <f t="shared" si="10"/>
        <v>51621</v>
      </c>
      <c r="GX7" s="33">
        <f t="shared" si="10"/>
        <v>51652</v>
      </c>
      <c r="GY7" s="33">
        <f t="shared" si="10"/>
        <v>51682</v>
      </c>
      <c r="GZ7" s="33">
        <f t="shared" si="10"/>
        <v>51713</v>
      </c>
      <c r="HA7" s="33">
        <f t="shared" si="10"/>
        <v>51744</v>
      </c>
      <c r="HB7" s="33">
        <f t="shared" si="10"/>
        <v>51774</v>
      </c>
      <c r="HC7" s="33">
        <f t="shared" si="10"/>
        <v>51805</v>
      </c>
      <c r="HD7" s="33">
        <f t="shared" si="10"/>
        <v>51835</v>
      </c>
      <c r="HE7" s="33">
        <f t="shared" si="10"/>
        <v>51866</v>
      </c>
      <c r="HF7" s="33">
        <f t="shared" ref="HF7:IB7" si="11">DATE(YEAR(HE7),MONTH(HE7)+2,0)</f>
        <v>51897</v>
      </c>
      <c r="HG7" s="33">
        <f t="shared" si="11"/>
        <v>51925</v>
      </c>
      <c r="HH7" s="33">
        <f t="shared" si="11"/>
        <v>51956</v>
      </c>
      <c r="HI7" s="33">
        <f t="shared" si="11"/>
        <v>51986</v>
      </c>
      <c r="HJ7" s="33">
        <f t="shared" si="11"/>
        <v>52017</v>
      </c>
      <c r="HK7" s="33">
        <f t="shared" si="11"/>
        <v>52047</v>
      </c>
      <c r="HL7" s="33">
        <f t="shared" si="11"/>
        <v>52078</v>
      </c>
      <c r="HM7" s="33">
        <f t="shared" si="11"/>
        <v>52109</v>
      </c>
      <c r="HN7" s="33">
        <f t="shared" si="11"/>
        <v>52139</v>
      </c>
      <c r="HO7" s="33">
        <f t="shared" si="11"/>
        <v>52170</v>
      </c>
      <c r="HP7" s="33">
        <f t="shared" si="11"/>
        <v>52200</v>
      </c>
      <c r="HQ7" s="33">
        <f t="shared" si="11"/>
        <v>52231</v>
      </c>
      <c r="HR7" s="33">
        <f t="shared" si="11"/>
        <v>52262</v>
      </c>
      <c r="HS7" s="33">
        <f t="shared" si="11"/>
        <v>52290</v>
      </c>
      <c r="HT7" s="33">
        <f t="shared" si="11"/>
        <v>52321</v>
      </c>
      <c r="HU7" s="33">
        <f t="shared" si="11"/>
        <v>52351</v>
      </c>
      <c r="HV7" s="33">
        <f t="shared" si="11"/>
        <v>52382</v>
      </c>
      <c r="HW7" s="33">
        <f t="shared" si="11"/>
        <v>52412</v>
      </c>
      <c r="HX7" s="33">
        <f t="shared" si="11"/>
        <v>52443</v>
      </c>
      <c r="HY7" s="33">
        <f t="shared" si="11"/>
        <v>52474</v>
      </c>
      <c r="HZ7" s="33">
        <f t="shared" si="11"/>
        <v>52504</v>
      </c>
      <c r="IA7" s="33">
        <f t="shared" si="11"/>
        <v>52535</v>
      </c>
      <c r="IB7" s="33">
        <f t="shared" si="11"/>
        <v>52565</v>
      </c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</row>
    <row r="8" spans="1:251" ht="18" customHeight="1" x14ac:dyDescent="0.3">
      <c r="D8" s="54" t="s">
        <v>140</v>
      </c>
      <c r="E8" s="325">
        <v>45777</v>
      </c>
      <c r="F8" s="55"/>
      <c r="G8" s="56"/>
      <c r="H8" s="57"/>
      <c r="I8" s="49" t="str">
        <f>+D10</f>
        <v>Reinvestment End Date</v>
      </c>
      <c r="J8" s="50" t="str">
        <f>IFERROR("~ " &amp; TEXT(YEARFRAC($K$6,K8),"0.0"),"NA")</f>
        <v>~ 3.2</v>
      </c>
      <c r="K8" s="51">
        <f>$E10</f>
        <v>46934</v>
      </c>
      <c r="L8" s="40" t="str">
        <f>+C22</f>
        <v>[C]</v>
      </c>
      <c r="M8" s="52" t="s">
        <v>17</v>
      </c>
      <c r="N8" s="42"/>
      <c r="O8" s="53">
        <f>-(SUM(O6:O7))*E22</f>
        <v>-1.89E-2</v>
      </c>
      <c r="P8" s="44"/>
      <c r="Q8" s="25"/>
      <c r="R8" s="25"/>
      <c r="S8" s="27"/>
      <c r="T8" s="32"/>
      <c r="U8" s="34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</row>
    <row r="9" spans="1:251" ht="18" customHeight="1" x14ac:dyDescent="0.3">
      <c r="C9" s="21"/>
      <c r="D9" s="59" t="s">
        <v>127</v>
      </c>
      <c r="E9" s="326">
        <v>46568</v>
      </c>
      <c r="F9" s="60"/>
      <c r="G9" s="61"/>
      <c r="H9" s="57"/>
      <c r="I9" s="49" t="str">
        <f>+D11</f>
        <v>Termination Date</v>
      </c>
      <c r="J9" s="50" t="str">
        <f t="shared" ref="J9" si="12">IFERROR("~ " &amp; TEXT(YEARFRAC($K$6,K9),"0.0"),"NA")</f>
        <v>~ 5.2</v>
      </c>
      <c r="K9" s="62">
        <f>$E11</f>
        <v>47664</v>
      </c>
      <c r="L9" s="63"/>
      <c r="M9" s="64" t="s">
        <v>18</v>
      </c>
      <c r="N9" s="65"/>
      <c r="O9" s="66">
        <f>SUM(O6:O8)</f>
        <v>0.1386</v>
      </c>
      <c r="P9" s="44"/>
      <c r="Q9" s="25"/>
      <c r="R9" s="25"/>
      <c r="S9" s="27"/>
      <c r="T9" s="32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</row>
    <row r="10" spans="1:251" ht="18" customHeight="1" x14ac:dyDescent="0.3">
      <c r="C10" s="21"/>
      <c r="D10" s="54" t="s">
        <v>128</v>
      </c>
      <c r="E10" s="325">
        <v>46934</v>
      </c>
      <c r="F10" s="55"/>
      <c r="G10" s="67"/>
      <c r="H10" s="68"/>
      <c r="I10" s="49" t="s">
        <v>19</v>
      </c>
      <c r="J10" s="25"/>
      <c r="K10" s="69">
        <f>$E15</f>
        <v>0.16500000000000001</v>
      </c>
      <c r="L10" s="25"/>
      <c r="M10" s="70" t="s">
        <v>20</v>
      </c>
      <c r="N10" s="25"/>
      <c r="O10" s="71">
        <f>$Q$38</f>
        <v>0.13691780587648267</v>
      </c>
      <c r="P10" s="25"/>
      <c r="Q10" s="25"/>
      <c r="R10" s="25"/>
      <c r="S10" s="27"/>
      <c r="T10" s="72" t="s">
        <v>21</v>
      </c>
      <c r="U10" s="73">
        <f>E12</f>
        <v>250000000</v>
      </c>
      <c r="V10" s="73">
        <f>$E$12*V$44</f>
        <v>250000000</v>
      </c>
      <c r="W10" s="73">
        <f t="shared" ref="W10:CF10" si="13">$E$12*W$44</f>
        <v>250000000</v>
      </c>
      <c r="X10" s="73">
        <f t="shared" si="13"/>
        <v>250000000</v>
      </c>
      <c r="Y10" s="73">
        <f>$E$12*Y$44</f>
        <v>250000000</v>
      </c>
      <c r="Z10" s="73">
        <f t="shared" si="13"/>
        <v>250000000</v>
      </c>
      <c r="AA10" s="73">
        <f t="shared" si="13"/>
        <v>250000000</v>
      </c>
      <c r="AB10" s="73">
        <f t="shared" si="13"/>
        <v>250000000</v>
      </c>
      <c r="AC10" s="73">
        <f t="shared" si="13"/>
        <v>250000000</v>
      </c>
      <c r="AD10" s="73">
        <f t="shared" si="13"/>
        <v>250000000</v>
      </c>
      <c r="AE10" s="73">
        <f t="shared" si="13"/>
        <v>250000000</v>
      </c>
      <c r="AF10" s="73">
        <f t="shared" si="13"/>
        <v>250000000</v>
      </c>
      <c r="AG10" s="73">
        <f t="shared" si="13"/>
        <v>250000000</v>
      </c>
      <c r="AH10" s="73">
        <f t="shared" si="13"/>
        <v>250000000</v>
      </c>
      <c r="AI10" s="73">
        <f t="shared" si="13"/>
        <v>250000000</v>
      </c>
      <c r="AJ10" s="73">
        <f t="shared" si="13"/>
        <v>250000000</v>
      </c>
      <c r="AK10" s="73">
        <f t="shared" si="13"/>
        <v>250000000</v>
      </c>
      <c r="AL10" s="73">
        <f t="shared" si="13"/>
        <v>250000000</v>
      </c>
      <c r="AM10" s="73">
        <f t="shared" si="13"/>
        <v>250000000</v>
      </c>
      <c r="AN10" s="73">
        <f t="shared" si="13"/>
        <v>250000000</v>
      </c>
      <c r="AO10" s="73">
        <f t="shared" si="13"/>
        <v>250000000</v>
      </c>
      <c r="AP10" s="73">
        <f t="shared" si="13"/>
        <v>250000000</v>
      </c>
      <c r="AQ10" s="73">
        <f t="shared" si="13"/>
        <v>250000000</v>
      </c>
      <c r="AR10" s="73">
        <f t="shared" si="13"/>
        <v>250000000</v>
      </c>
      <c r="AS10" s="73">
        <f t="shared" si="13"/>
        <v>250000000</v>
      </c>
      <c r="AT10" s="73">
        <f t="shared" si="13"/>
        <v>250000000</v>
      </c>
      <c r="AU10" s="73">
        <f t="shared" si="13"/>
        <v>250000000</v>
      </c>
      <c r="AV10" s="73">
        <f t="shared" si="13"/>
        <v>250000000</v>
      </c>
      <c r="AW10" s="73">
        <f t="shared" si="13"/>
        <v>250000000</v>
      </c>
      <c r="AX10" s="73">
        <f t="shared" si="13"/>
        <v>250000000</v>
      </c>
      <c r="AY10" s="73">
        <f t="shared" si="13"/>
        <v>250000000</v>
      </c>
      <c r="AZ10" s="73">
        <f t="shared" si="13"/>
        <v>250000000</v>
      </c>
      <c r="BA10" s="73">
        <f t="shared" si="13"/>
        <v>250000000</v>
      </c>
      <c r="BB10" s="73">
        <f t="shared" si="13"/>
        <v>250000000</v>
      </c>
      <c r="BC10" s="73">
        <f t="shared" si="13"/>
        <v>250000000</v>
      </c>
      <c r="BD10" s="73">
        <f t="shared" si="13"/>
        <v>250000000</v>
      </c>
      <c r="BE10" s="73">
        <f t="shared" si="13"/>
        <v>250000000</v>
      </c>
      <c r="BF10" s="73">
        <f t="shared" si="13"/>
        <v>250000000</v>
      </c>
      <c r="BG10" s="73">
        <f t="shared" si="13"/>
        <v>250000000</v>
      </c>
      <c r="BH10" s="73">
        <f t="shared" si="13"/>
        <v>250000000</v>
      </c>
      <c r="BI10" s="73">
        <f t="shared" si="13"/>
        <v>250000000</v>
      </c>
      <c r="BJ10" s="73">
        <f t="shared" si="13"/>
        <v>250000000</v>
      </c>
      <c r="BK10" s="73">
        <f t="shared" si="13"/>
        <v>250000000</v>
      </c>
      <c r="BL10" s="73">
        <f t="shared" si="13"/>
        <v>250000000</v>
      </c>
      <c r="BM10" s="73">
        <f t="shared" si="13"/>
        <v>250000000</v>
      </c>
      <c r="BN10" s="73">
        <f t="shared" si="13"/>
        <v>250000000</v>
      </c>
      <c r="BO10" s="73">
        <f t="shared" si="13"/>
        <v>250000000</v>
      </c>
      <c r="BP10" s="73">
        <f t="shared" si="13"/>
        <v>250000000</v>
      </c>
      <c r="BQ10" s="73">
        <f t="shared" si="13"/>
        <v>250000000</v>
      </c>
      <c r="BR10" s="73">
        <f t="shared" si="13"/>
        <v>250000000</v>
      </c>
      <c r="BS10" s="73">
        <f t="shared" si="13"/>
        <v>250000000</v>
      </c>
      <c r="BT10" s="73">
        <f t="shared" si="13"/>
        <v>250000000</v>
      </c>
      <c r="BU10" s="73">
        <f t="shared" si="13"/>
        <v>250000000</v>
      </c>
      <c r="BV10" s="73">
        <f t="shared" si="13"/>
        <v>250000000</v>
      </c>
      <c r="BW10" s="73">
        <f t="shared" si="13"/>
        <v>250000000</v>
      </c>
      <c r="BX10" s="73">
        <f t="shared" si="13"/>
        <v>0</v>
      </c>
      <c r="BY10" s="73">
        <f t="shared" si="13"/>
        <v>0</v>
      </c>
      <c r="BZ10" s="73">
        <f t="shared" si="13"/>
        <v>0</v>
      </c>
      <c r="CA10" s="73">
        <f t="shared" si="13"/>
        <v>0</v>
      </c>
      <c r="CB10" s="73">
        <f t="shared" si="13"/>
        <v>0</v>
      </c>
      <c r="CC10" s="73">
        <f t="shared" si="13"/>
        <v>0</v>
      </c>
      <c r="CD10" s="73">
        <f t="shared" si="13"/>
        <v>0</v>
      </c>
      <c r="CE10" s="73">
        <f t="shared" si="13"/>
        <v>0</v>
      </c>
      <c r="CF10" s="73">
        <f t="shared" si="13"/>
        <v>0</v>
      </c>
      <c r="CG10" s="73">
        <f t="shared" ref="CG10:ER10" si="14">$E$12*CG$44</f>
        <v>0</v>
      </c>
      <c r="CH10" s="73">
        <f t="shared" si="14"/>
        <v>0</v>
      </c>
      <c r="CI10" s="73">
        <f t="shared" si="14"/>
        <v>0</v>
      </c>
      <c r="CJ10" s="73">
        <f t="shared" si="14"/>
        <v>0</v>
      </c>
      <c r="CK10" s="73">
        <f t="shared" si="14"/>
        <v>0</v>
      </c>
      <c r="CL10" s="73">
        <f t="shared" si="14"/>
        <v>0</v>
      </c>
      <c r="CM10" s="73">
        <f t="shared" si="14"/>
        <v>0</v>
      </c>
      <c r="CN10" s="73">
        <f t="shared" si="14"/>
        <v>0</v>
      </c>
      <c r="CO10" s="73">
        <f t="shared" si="14"/>
        <v>0</v>
      </c>
      <c r="CP10" s="73">
        <f t="shared" si="14"/>
        <v>0</v>
      </c>
      <c r="CQ10" s="73">
        <f t="shared" si="14"/>
        <v>0</v>
      </c>
      <c r="CR10" s="73">
        <f t="shared" si="14"/>
        <v>0</v>
      </c>
      <c r="CS10" s="73">
        <f t="shared" si="14"/>
        <v>0</v>
      </c>
      <c r="CT10" s="73">
        <f t="shared" si="14"/>
        <v>0</v>
      </c>
      <c r="CU10" s="73">
        <f t="shared" si="14"/>
        <v>0</v>
      </c>
      <c r="CV10" s="73">
        <f t="shared" si="14"/>
        <v>0</v>
      </c>
      <c r="CW10" s="73">
        <f t="shared" si="14"/>
        <v>0</v>
      </c>
      <c r="CX10" s="73">
        <f t="shared" si="14"/>
        <v>0</v>
      </c>
      <c r="CY10" s="73">
        <f t="shared" si="14"/>
        <v>0</v>
      </c>
      <c r="CZ10" s="73">
        <f t="shared" si="14"/>
        <v>0</v>
      </c>
      <c r="DA10" s="73">
        <f t="shared" si="14"/>
        <v>0</v>
      </c>
      <c r="DB10" s="73">
        <f t="shared" si="14"/>
        <v>0</v>
      </c>
      <c r="DC10" s="73">
        <f t="shared" si="14"/>
        <v>0</v>
      </c>
      <c r="DD10" s="73">
        <f t="shared" si="14"/>
        <v>0</v>
      </c>
      <c r="DE10" s="73">
        <f t="shared" si="14"/>
        <v>0</v>
      </c>
      <c r="DF10" s="73">
        <f t="shared" si="14"/>
        <v>0</v>
      </c>
      <c r="DG10" s="73">
        <f t="shared" si="14"/>
        <v>0</v>
      </c>
      <c r="DH10" s="73">
        <f t="shared" si="14"/>
        <v>0</v>
      </c>
      <c r="DI10" s="73">
        <f t="shared" si="14"/>
        <v>0</v>
      </c>
      <c r="DJ10" s="73">
        <f t="shared" si="14"/>
        <v>0</v>
      </c>
      <c r="DK10" s="73">
        <f t="shared" si="14"/>
        <v>0</v>
      </c>
      <c r="DL10" s="73">
        <f t="shared" si="14"/>
        <v>0</v>
      </c>
      <c r="DM10" s="73">
        <f t="shared" si="14"/>
        <v>0</v>
      </c>
      <c r="DN10" s="73">
        <f t="shared" si="14"/>
        <v>0</v>
      </c>
      <c r="DO10" s="73">
        <f t="shared" si="14"/>
        <v>0</v>
      </c>
      <c r="DP10" s="73">
        <f t="shared" si="14"/>
        <v>0</v>
      </c>
      <c r="DQ10" s="73">
        <f t="shared" si="14"/>
        <v>0</v>
      </c>
      <c r="DR10" s="73">
        <f t="shared" si="14"/>
        <v>0</v>
      </c>
      <c r="DS10" s="73">
        <f t="shared" si="14"/>
        <v>0</v>
      </c>
      <c r="DT10" s="73">
        <f t="shared" si="14"/>
        <v>0</v>
      </c>
      <c r="DU10" s="73">
        <f t="shared" si="14"/>
        <v>0</v>
      </c>
      <c r="DV10" s="73">
        <f t="shared" si="14"/>
        <v>0</v>
      </c>
      <c r="DW10" s="73">
        <f t="shared" si="14"/>
        <v>0</v>
      </c>
      <c r="DX10" s="73">
        <f t="shared" si="14"/>
        <v>0</v>
      </c>
      <c r="DY10" s="73">
        <f t="shared" si="14"/>
        <v>0</v>
      </c>
      <c r="DZ10" s="73">
        <f t="shared" si="14"/>
        <v>0</v>
      </c>
      <c r="EA10" s="73">
        <f t="shared" si="14"/>
        <v>0</v>
      </c>
      <c r="EB10" s="73">
        <f t="shared" si="14"/>
        <v>0</v>
      </c>
      <c r="EC10" s="73">
        <f t="shared" si="14"/>
        <v>0</v>
      </c>
      <c r="ED10" s="73">
        <f t="shared" si="14"/>
        <v>0</v>
      </c>
      <c r="EE10" s="73">
        <f t="shared" si="14"/>
        <v>0</v>
      </c>
      <c r="EF10" s="73">
        <f t="shared" si="14"/>
        <v>0</v>
      </c>
      <c r="EG10" s="73">
        <f t="shared" si="14"/>
        <v>0</v>
      </c>
      <c r="EH10" s="73">
        <f t="shared" si="14"/>
        <v>0</v>
      </c>
      <c r="EI10" s="73">
        <f t="shared" si="14"/>
        <v>0</v>
      </c>
      <c r="EJ10" s="73">
        <f t="shared" si="14"/>
        <v>0</v>
      </c>
      <c r="EK10" s="73">
        <f t="shared" si="14"/>
        <v>0</v>
      </c>
      <c r="EL10" s="73">
        <f t="shared" si="14"/>
        <v>0</v>
      </c>
      <c r="EM10" s="73">
        <f t="shared" si="14"/>
        <v>0</v>
      </c>
      <c r="EN10" s="73">
        <f t="shared" si="14"/>
        <v>0</v>
      </c>
      <c r="EO10" s="73">
        <f t="shared" si="14"/>
        <v>0</v>
      </c>
      <c r="EP10" s="73">
        <f t="shared" si="14"/>
        <v>0</v>
      </c>
      <c r="EQ10" s="73">
        <f t="shared" si="14"/>
        <v>0</v>
      </c>
      <c r="ER10" s="73">
        <f t="shared" si="14"/>
        <v>0</v>
      </c>
      <c r="ES10" s="73">
        <f t="shared" ref="ES10:HD10" si="15">$E$12*ES$44</f>
        <v>0</v>
      </c>
      <c r="ET10" s="73">
        <f t="shared" si="15"/>
        <v>0</v>
      </c>
      <c r="EU10" s="73">
        <f t="shared" si="15"/>
        <v>0</v>
      </c>
      <c r="EV10" s="73">
        <f t="shared" si="15"/>
        <v>0</v>
      </c>
      <c r="EW10" s="73">
        <f t="shared" si="15"/>
        <v>0</v>
      </c>
      <c r="EX10" s="73">
        <f t="shared" si="15"/>
        <v>0</v>
      </c>
      <c r="EY10" s="73">
        <f t="shared" si="15"/>
        <v>0</v>
      </c>
      <c r="EZ10" s="73">
        <f t="shared" si="15"/>
        <v>0</v>
      </c>
      <c r="FA10" s="73">
        <f t="shared" si="15"/>
        <v>0</v>
      </c>
      <c r="FB10" s="73">
        <f t="shared" si="15"/>
        <v>0</v>
      </c>
      <c r="FC10" s="73">
        <f t="shared" si="15"/>
        <v>0</v>
      </c>
      <c r="FD10" s="73">
        <f t="shared" si="15"/>
        <v>0</v>
      </c>
      <c r="FE10" s="73">
        <f t="shared" si="15"/>
        <v>0</v>
      </c>
      <c r="FF10" s="73">
        <f t="shared" si="15"/>
        <v>0</v>
      </c>
      <c r="FG10" s="73">
        <f t="shared" si="15"/>
        <v>0</v>
      </c>
      <c r="FH10" s="73">
        <f t="shared" si="15"/>
        <v>0</v>
      </c>
      <c r="FI10" s="73">
        <f t="shared" si="15"/>
        <v>0</v>
      </c>
      <c r="FJ10" s="73">
        <f t="shared" si="15"/>
        <v>0</v>
      </c>
      <c r="FK10" s="73">
        <f t="shared" si="15"/>
        <v>0</v>
      </c>
      <c r="FL10" s="73">
        <f t="shared" si="15"/>
        <v>0</v>
      </c>
      <c r="FM10" s="73">
        <f t="shared" si="15"/>
        <v>0</v>
      </c>
      <c r="FN10" s="73">
        <f t="shared" si="15"/>
        <v>0</v>
      </c>
      <c r="FO10" s="73">
        <f t="shared" si="15"/>
        <v>0</v>
      </c>
      <c r="FP10" s="73">
        <f t="shared" si="15"/>
        <v>0</v>
      </c>
      <c r="FQ10" s="73">
        <f t="shared" si="15"/>
        <v>0</v>
      </c>
      <c r="FR10" s="73">
        <f t="shared" si="15"/>
        <v>0</v>
      </c>
      <c r="FS10" s="73">
        <f t="shared" si="15"/>
        <v>0</v>
      </c>
      <c r="FT10" s="73">
        <f t="shared" si="15"/>
        <v>0</v>
      </c>
      <c r="FU10" s="73">
        <f t="shared" si="15"/>
        <v>0</v>
      </c>
      <c r="FV10" s="73">
        <f t="shared" si="15"/>
        <v>0</v>
      </c>
      <c r="FW10" s="73">
        <f t="shared" si="15"/>
        <v>0</v>
      </c>
      <c r="FX10" s="73">
        <f t="shared" si="15"/>
        <v>0</v>
      </c>
      <c r="FY10" s="73">
        <f t="shared" si="15"/>
        <v>0</v>
      </c>
      <c r="FZ10" s="73">
        <f t="shared" si="15"/>
        <v>0</v>
      </c>
      <c r="GA10" s="73">
        <f t="shared" si="15"/>
        <v>0</v>
      </c>
      <c r="GB10" s="73">
        <f t="shared" si="15"/>
        <v>0</v>
      </c>
      <c r="GC10" s="73">
        <f t="shared" si="15"/>
        <v>0</v>
      </c>
      <c r="GD10" s="73">
        <f t="shared" si="15"/>
        <v>0</v>
      </c>
      <c r="GE10" s="73">
        <f t="shared" si="15"/>
        <v>0</v>
      </c>
      <c r="GF10" s="73">
        <f t="shared" si="15"/>
        <v>0</v>
      </c>
      <c r="GG10" s="73">
        <f t="shared" si="15"/>
        <v>0</v>
      </c>
      <c r="GH10" s="73">
        <f t="shared" si="15"/>
        <v>0</v>
      </c>
      <c r="GI10" s="73">
        <f t="shared" si="15"/>
        <v>0</v>
      </c>
      <c r="GJ10" s="73">
        <f t="shared" si="15"/>
        <v>0</v>
      </c>
      <c r="GK10" s="73">
        <f t="shared" si="15"/>
        <v>0</v>
      </c>
      <c r="GL10" s="73">
        <f t="shared" si="15"/>
        <v>0</v>
      </c>
      <c r="GM10" s="73">
        <f t="shared" si="15"/>
        <v>0</v>
      </c>
      <c r="GN10" s="73">
        <f t="shared" si="15"/>
        <v>0</v>
      </c>
      <c r="GO10" s="73">
        <f t="shared" si="15"/>
        <v>0</v>
      </c>
      <c r="GP10" s="73">
        <f t="shared" si="15"/>
        <v>0</v>
      </c>
      <c r="GQ10" s="73">
        <f t="shared" si="15"/>
        <v>0</v>
      </c>
      <c r="GR10" s="73">
        <f t="shared" si="15"/>
        <v>0</v>
      </c>
      <c r="GS10" s="73">
        <f t="shared" si="15"/>
        <v>0</v>
      </c>
      <c r="GT10" s="73">
        <f t="shared" si="15"/>
        <v>0</v>
      </c>
      <c r="GU10" s="73">
        <f t="shared" si="15"/>
        <v>0</v>
      </c>
      <c r="GV10" s="73">
        <f t="shared" si="15"/>
        <v>0</v>
      </c>
      <c r="GW10" s="73">
        <f t="shared" si="15"/>
        <v>0</v>
      </c>
      <c r="GX10" s="73">
        <f t="shared" si="15"/>
        <v>0</v>
      </c>
      <c r="GY10" s="73">
        <f t="shared" si="15"/>
        <v>0</v>
      </c>
      <c r="GZ10" s="73">
        <f t="shared" si="15"/>
        <v>0</v>
      </c>
      <c r="HA10" s="73">
        <f t="shared" si="15"/>
        <v>0</v>
      </c>
      <c r="HB10" s="73">
        <f t="shared" si="15"/>
        <v>0</v>
      </c>
      <c r="HC10" s="73">
        <f t="shared" si="15"/>
        <v>0</v>
      </c>
      <c r="HD10" s="73">
        <f t="shared" si="15"/>
        <v>0</v>
      </c>
      <c r="HE10" s="73">
        <f t="shared" ref="HE10:IB10" si="16">$E$12*HE$44</f>
        <v>0</v>
      </c>
      <c r="HF10" s="73">
        <f t="shared" si="16"/>
        <v>0</v>
      </c>
      <c r="HG10" s="73">
        <f t="shared" si="16"/>
        <v>0</v>
      </c>
      <c r="HH10" s="73">
        <f t="shared" si="16"/>
        <v>0</v>
      </c>
      <c r="HI10" s="73">
        <f t="shared" si="16"/>
        <v>0</v>
      </c>
      <c r="HJ10" s="73">
        <f t="shared" si="16"/>
        <v>0</v>
      </c>
      <c r="HK10" s="73">
        <f t="shared" si="16"/>
        <v>0</v>
      </c>
      <c r="HL10" s="73">
        <f t="shared" si="16"/>
        <v>0</v>
      </c>
      <c r="HM10" s="73">
        <f t="shared" si="16"/>
        <v>0</v>
      </c>
      <c r="HN10" s="73">
        <f t="shared" si="16"/>
        <v>0</v>
      </c>
      <c r="HO10" s="73">
        <f t="shared" si="16"/>
        <v>0</v>
      </c>
      <c r="HP10" s="73">
        <f t="shared" si="16"/>
        <v>0</v>
      </c>
      <c r="HQ10" s="73">
        <f t="shared" si="16"/>
        <v>0</v>
      </c>
      <c r="HR10" s="73">
        <f t="shared" si="16"/>
        <v>0</v>
      </c>
      <c r="HS10" s="73">
        <f t="shared" si="16"/>
        <v>0</v>
      </c>
      <c r="HT10" s="73">
        <f t="shared" si="16"/>
        <v>0</v>
      </c>
      <c r="HU10" s="73">
        <f t="shared" si="16"/>
        <v>0</v>
      </c>
      <c r="HV10" s="73">
        <f t="shared" si="16"/>
        <v>0</v>
      </c>
      <c r="HW10" s="73">
        <f t="shared" si="16"/>
        <v>0</v>
      </c>
      <c r="HX10" s="73">
        <f t="shared" si="16"/>
        <v>0</v>
      </c>
      <c r="HY10" s="73">
        <f t="shared" si="16"/>
        <v>0</v>
      </c>
      <c r="HZ10" s="73">
        <f t="shared" si="16"/>
        <v>0</v>
      </c>
      <c r="IA10" s="73">
        <f t="shared" si="16"/>
        <v>0</v>
      </c>
      <c r="IB10" s="73">
        <f t="shared" si="16"/>
        <v>0</v>
      </c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</row>
    <row r="11" spans="1:251" ht="18" customHeight="1" x14ac:dyDescent="0.3">
      <c r="A11" s="74" t="s">
        <v>22</v>
      </c>
      <c r="C11" s="21"/>
      <c r="D11" s="59" t="s">
        <v>129</v>
      </c>
      <c r="E11" s="326">
        <v>47664</v>
      </c>
      <c r="F11" s="60"/>
      <c r="G11" s="67"/>
      <c r="H11" s="75"/>
      <c r="I11" s="49" t="s">
        <v>23</v>
      </c>
      <c r="J11" s="25"/>
      <c r="K11" s="69">
        <f>$E17</f>
        <v>0.08</v>
      </c>
      <c r="P11" s="25"/>
      <c r="Q11" s="25"/>
      <c r="R11" s="25"/>
      <c r="S11" s="27"/>
      <c r="T11" s="72" t="s">
        <v>24</v>
      </c>
      <c r="U11" s="76">
        <f>U10*$E$19</f>
        <v>212500000</v>
      </c>
      <c r="V11" s="76">
        <f>V10*$E$19</f>
        <v>212500000</v>
      </c>
      <c r="W11" s="76">
        <f t="shared" ref="W11:CF11" si="17">W10*$E$19</f>
        <v>212500000</v>
      </c>
      <c r="X11" s="76">
        <f t="shared" si="17"/>
        <v>212500000</v>
      </c>
      <c r="Y11" s="76">
        <f t="shared" si="17"/>
        <v>212500000</v>
      </c>
      <c r="Z11" s="76">
        <f t="shared" si="17"/>
        <v>212500000</v>
      </c>
      <c r="AA11" s="76">
        <f t="shared" si="17"/>
        <v>212500000</v>
      </c>
      <c r="AB11" s="76">
        <f t="shared" si="17"/>
        <v>212500000</v>
      </c>
      <c r="AC11" s="76">
        <f t="shared" si="17"/>
        <v>212500000</v>
      </c>
      <c r="AD11" s="76">
        <f t="shared" si="17"/>
        <v>212500000</v>
      </c>
      <c r="AE11" s="76">
        <f t="shared" si="17"/>
        <v>212500000</v>
      </c>
      <c r="AF11" s="76">
        <f t="shared" si="17"/>
        <v>212500000</v>
      </c>
      <c r="AG11" s="76">
        <f t="shared" si="17"/>
        <v>212500000</v>
      </c>
      <c r="AH11" s="76">
        <f t="shared" si="17"/>
        <v>212500000</v>
      </c>
      <c r="AI11" s="76">
        <f t="shared" si="17"/>
        <v>212500000</v>
      </c>
      <c r="AJ11" s="76">
        <f t="shared" si="17"/>
        <v>212500000</v>
      </c>
      <c r="AK11" s="76">
        <f t="shared" si="17"/>
        <v>212500000</v>
      </c>
      <c r="AL11" s="76">
        <f t="shared" si="17"/>
        <v>212500000</v>
      </c>
      <c r="AM11" s="76">
        <f t="shared" si="17"/>
        <v>212500000</v>
      </c>
      <c r="AN11" s="76">
        <f t="shared" si="17"/>
        <v>212500000</v>
      </c>
      <c r="AO11" s="76">
        <f t="shared" si="17"/>
        <v>212500000</v>
      </c>
      <c r="AP11" s="76">
        <f t="shared" si="17"/>
        <v>212500000</v>
      </c>
      <c r="AQ11" s="76">
        <f t="shared" si="17"/>
        <v>212500000</v>
      </c>
      <c r="AR11" s="76">
        <f t="shared" si="17"/>
        <v>212500000</v>
      </c>
      <c r="AS11" s="76">
        <f t="shared" si="17"/>
        <v>212500000</v>
      </c>
      <c r="AT11" s="76">
        <f t="shared" si="17"/>
        <v>212500000</v>
      </c>
      <c r="AU11" s="76">
        <f t="shared" si="17"/>
        <v>212500000</v>
      </c>
      <c r="AV11" s="76">
        <f t="shared" si="17"/>
        <v>212500000</v>
      </c>
      <c r="AW11" s="76">
        <f t="shared" si="17"/>
        <v>212500000</v>
      </c>
      <c r="AX11" s="76">
        <f t="shared" si="17"/>
        <v>212500000</v>
      </c>
      <c r="AY11" s="76">
        <f t="shared" si="17"/>
        <v>212500000</v>
      </c>
      <c r="AZ11" s="76">
        <f t="shared" si="17"/>
        <v>212500000</v>
      </c>
      <c r="BA11" s="76">
        <f t="shared" si="17"/>
        <v>212500000</v>
      </c>
      <c r="BB11" s="76">
        <f t="shared" si="17"/>
        <v>212500000</v>
      </c>
      <c r="BC11" s="76">
        <f t="shared" si="17"/>
        <v>212500000</v>
      </c>
      <c r="BD11" s="76">
        <f t="shared" si="17"/>
        <v>212500000</v>
      </c>
      <c r="BE11" s="76">
        <f t="shared" si="17"/>
        <v>212500000</v>
      </c>
      <c r="BF11" s="76">
        <f t="shared" si="17"/>
        <v>212500000</v>
      </c>
      <c r="BG11" s="76">
        <f t="shared" si="17"/>
        <v>212500000</v>
      </c>
      <c r="BH11" s="76">
        <f t="shared" si="17"/>
        <v>212500000</v>
      </c>
      <c r="BI11" s="76">
        <f t="shared" si="17"/>
        <v>212500000</v>
      </c>
      <c r="BJ11" s="76">
        <f t="shared" si="17"/>
        <v>212500000</v>
      </c>
      <c r="BK11" s="76">
        <f t="shared" si="17"/>
        <v>212500000</v>
      </c>
      <c r="BL11" s="76">
        <f t="shared" si="17"/>
        <v>212500000</v>
      </c>
      <c r="BM11" s="76">
        <f t="shared" si="17"/>
        <v>212500000</v>
      </c>
      <c r="BN11" s="76">
        <f t="shared" si="17"/>
        <v>212500000</v>
      </c>
      <c r="BO11" s="76">
        <f t="shared" si="17"/>
        <v>212500000</v>
      </c>
      <c r="BP11" s="76">
        <f t="shared" si="17"/>
        <v>212500000</v>
      </c>
      <c r="BQ11" s="76">
        <f t="shared" si="17"/>
        <v>212500000</v>
      </c>
      <c r="BR11" s="76">
        <f t="shared" si="17"/>
        <v>212500000</v>
      </c>
      <c r="BS11" s="76">
        <f t="shared" si="17"/>
        <v>212500000</v>
      </c>
      <c r="BT11" s="76">
        <f t="shared" si="17"/>
        <v>212500000</v>
      </c>
      <c r="BU11" s="76">
        <f t="shared" si="17"/>
        <v>212500000</v>
      </c>
      <c r="BV11" s="76">
        <f t="shared" si="17"/>
        <v>212500000</v>
      </c>
      <c r="BW11" s="76">
        <f t="shared" si="17"/>
        <v>212500000</v>
      </c>
      <c r="BX11" s="76">
        <f t="shared" si="17"/>
        <v>0</v>
      </c>
      <c r="BY11" s="76">
        <f t="shared" si="17"/>
        <v>0</v>
      </c>
      <c r="BZ11" s="76">
        <f t="shared" si="17"/>
        <v>0</v>
      </c>
      <c r="CA11" s="76">
        <f t="shared" si="17"/>
        <v>0</v>
      </c>
      <c r="CB11" s="76">
        <f t="shared" si="17"/>
        <v>0</v>
      </c>
      <c r="CC11" s="76">
        <f t="shared" si="17"/>
        <v>0</v>
      </c>
      <c r="CD11" s="76">
        <f t="shared" si="17"/>
        <v>0</v>
      </c>
      <c r="CE11" s="76">
        <f t="shared" si="17"/>
        <v>0</v>
      </c>
      <c r="CF11" s="76">
        <f t="shared" si="17"/>
        <v>0</v>
      </c>
      <c r="CG11" s="76">
        <f t="shared" ref="CG11:ER11" si="18">CG10*$E$19</f>
        <v>0</v>
      </c>
      <c r="CH11" s="76">
        <f t="shared" si="18"/>
        <v>0</v>
      </c>
      <c r="CI11" s="76">
        <f t="shared" si="18"/>
        <v>0</v>
      </c>
      <c r="CJ11" s="76">
        <f t="shared" si="18"/>
        <v>0</v>
      </c>
      <c r="CK11" s="76">
        <f t="shared" si="18"/>
        <v>0</v>
      </c>
      <c r="CL11" s="76">
        <f t="shared" si="18"/>
        <v>0</v>
      </c>
      <c r="CM11" s="76">
        <f t="shared" si="18"/>
        <v>0</v>
      </c>
      <c r="CN11" s="76">
        <f t="shared" si="18"/>
        <v>0</v>
      </c>
      <c r="CO11" s="76">
        <f t="shared" si="18"/>
        <v>0</v>
      </c>
      <c r="CP11" s="76">
        <f t="shared" si="18"/>
        <v>0</v>
      </c>
      <c r="CQ11" s="76">
        <f t="shared" si="18"/>
        <v>0</v>
      </c>
      <c r="CR11" s="76">
        <f t="shared" si="18"/>
        <v>0</v>
      </c>
      <c r="CS11" s="76">
        <f t="shared" si="18"/>
        <v>0</v>
      </c>
      <c r="CT11" s="76">
        <f t="shared" si="18"/>
        <v>0</v>
      </c>
      <c r="CU11" s="76">
        <f t="shared" si="18"/>
        <v>0</v>
      </c>
      <c r="CV11" s="76">
        <f t="shared" si="18"/>
        <v>0</v>
      </c>
      <c r="CW11" s="76">
        <f t="shared" si="18"/>
        <v>0</v>
      </c>
      <c r="CX11" s="76">
        <f t="shared" si="18"/>
        <v>0</v>
      </c>
      <c r="CY11" s="76">
        <f t="shared" si="18"/>
        <v>0</v>
      </c>
      <c r="CZ11" s="76">
        <f t="shared" si="18"/>
        <v>0</v>
      </c>
      <c r="DA11" s="76">
        <f t="shared" si="18"/>
        <v>0</v>
      </c>
      <c r="DB11" s="76">
        <f t="shared" si="18"/>
        <v>0</v>
      </c>
      <c r="DC11" s="76">
        <f t="shared" si="18"/>
        <v>0</v>
      </c>
      <c r="DD11" s="76">
        <f t="shared" si="18"/>
        <v>0</v>
      </c>
      <c r="DE11" s="76">
        <f t="shared" si="18"/>
        <v>0</v>
      </c>
      <c r="DF11" s="76">
        <f t="shared" si="18"/>
        <v>0</v>
      </c>
      <c r="DG11" s="76">
        <f t="shared" si="18"/>
        <v>0</v>
      </c>
      <c r="DH11" s="76">
        <f t="shared" si="18"/>
        <v>0</v>
      </c>
      <c r="DI11" s="76">
        <f t="shared" si="18"/>
        <v>0</v>
      </c>
      <c r="DJ11" s="76">
        <f t="shared" si="18"/>
        <v>0</v>
      </c>
      <c r="DK11" s="76">
        <f t="shared" si="18"/>
        <v>0</v>
      </c>
      <c r="DL11" s="76">
        <f t="shared" si="18"/>
        <v>0</v>
      </c>
      <c r="DM11" s="76">
        <f t="shared" si="18"/>
        <v>0</v>
      </c>
      <c r="DN11" s="76">
        <f t="shared" si="18"/>
        <v>0</v>
      </c>
      <c r="DO11" s="76">
        <f t="shared" si="18"/>
        <v>0</v>
      </c>
      <c r="DP11" s="76">
        <f t="shared" si="18"/>
        <v>0</v>
      </c>
      <c r="DQ11" s="76">
        <f t="shared" si="18"/>
        <v>0</v>
      </c>
      <c r="DR11" s="76">
        <f t="shared" si="18"/>
        <v>0</v>
      </c>
      <c r="DS11" s="76">
        <f t="shared" si="18"/>
        <v>0</v>
      </c>
      <c r="DT11" s="76">
        <f t="shared" si="18"/>
        <v>0</v>
      </c>
      <c r="DU11" s="76">
        <f t="shared" si="18"/>
        <v>0</v>
      </c>
      <c r="DV11" s="76">
        <f t="shared" si="18"/>
        <v>0</v>
      </c>
      <c r="DW11" s="76">
        <f t="shared" si="18"/>
        <v>0</v>
      </c>
      <c r="DX11" s="76">
        <f t="shared" si="18"/>
        <v>0</v>
      </c>
      <c r="DY11" s="76">
        <f t="shared" si="18"/>
        <v>0</v>
      </c>
      <c r="DZ11" s="76">
        <f t="shared" si="18"/>
        <v>0</v>
      </c>
      <c r="EA11" s="76">
        <f t="shared" si="18"/>
        <v>0</v>
      </c>
      <c r="EB11" s="76">
        <f t="shared" si="18"/>
        <v>0</v>
      </c>
      <c r="EC11" s="76">
        <f t="shared" si="18"/>
        <v>0</v>
      </c>
      <c r="ED11" s="76">
        <f t="shared" si="18"/>
        <v>0</v>
      </c>
      <c r="EE11" s="76">
        <f t="shared" si="18"/>
        <v>0</v>
      </c>
      <c r="EF11" s="76">
        <f t="shared" si="18"/>
        <v>0</v>
      </c>
      <c r="EG11" s="76">
        <f t="shared" si="18"/>
        <v>0</v>
      </c>
      <c r="EH11" s="76">
        <f t="shared" si="18"/>
        <v>0</v>
      </c>
      <c r="EI11" s="76">
        <f t="shared" si="18"/>
        <v>0</v>
      </c>
      <c r="EJ11" s="76">
        <f t="shared" si="18"/>
        <v>0</v>
      </c>
      <c r="EK11" s="76">
        <f t="shared" si="18"/>
        <v>0</v>
      </c>
      <c r="EL11" s="76">
        <f t="shared" si="18"/>
        <v>0</v>
      </c>
      <c r="EM11" s="76">
        <f t="shared" si="18"/>
        <v>0</v>
      </c>
      <c r="EN11" s="76">
        <f t="shared" si="18"/>
        <v>0</v>
      </c>
      <c r="EO11" s="76">
        <f t="shared" si="18"/>
        <v>0</v>
      </c>
      <c r="EP11" s="76">
        <f t="shared" si="18"/>
        <v>0</v>
      </c>
      <c r="EQ11" s="76">
        <f t="shared" si="18"/>
        <v>0</v>
      </c>
      <c r="ER11" s="76">
        <f t="shared" si="18"/>
        <v>0</v>
      </c>
      <c r="ES11" s="76">
        <f t="shared" ref="ES11:HD11" si="19">ES10*$E$19</f>
        <v>0</v>
      </c>
      <c r="ET11" s="76">
        <f t="shared" si="19"/>
        <v>0</v>
      </c>
      <c r="EU11" s="76">
        <f t="shared" si="19"/>
        <v>0</v>
      </c>
      <c r="EV11" s="76">
        <f t="shared" si="19"/>
        <v>0</v>
      </c>
      <c r="EW11" s="76">
        <f t="shared" si="19"/>
        <v>0</v>
      </c>
      <c r="EX11" s="76">
        <f t="shared" si="19"/>
        <v>0</v>
      </c>
      <c r="EY11" s="76">
        <f t="shared" si="19"/>
        <v>0</v>
      </c>
      <c r="EZ11" s="76">
        <f t="shared" si="19"/>
        <v>0</v>
      </c>
      <c r="FA11" s="76">
        <f t="shared" si="19"/>
        <v>0</v>
      </c>
      <c r="FB11" s="76">
        <f t="shared" si="19"/>
        <v>0</v>
      </c>
      <c r="FC11" s="76">
        <f t="shared" si="19"/>
        <v>0</v>
      </c>
      <c r="FD11" s="76">
        <f t="shared" si="19"/>
        <v>0</v>
      </c>
      <c r="FE11" s="76">
        <f t="shared" si="19"/>
        <v>0</v>
      </c>
      <c r="FF11" s="76">
        <f t="shared" si="19"/>
        <v>0</v>
      </c>
      <c r="FG11" s="76">
        <f t="shared" si="19"/>
        <v>0</v>
      </c>
      <c r="FH11" s="76">
        <f t="shared" si="19"/>
        <v>0</v>
      </c>
      <c r="FI11" s="76">
        <f t="shared" si="19"/>
        <v>0</v>
      </c>
      <c r="FJ11" s="76">
        <f t="shared" si="19"/>
        <v>0</v>
      </c>
      <c r="FK11" s="76">
        <f t="shared" si="19"/>
        <v>0</v>
      </c>
      <c r="FL11" s="76">
        <f t="shared" si="19"/>
        <v>0</v>
      </c>
      <c r="FM11" s="76">
        <f t="shared" si="19"/>
        <v>0</v>
      </c>
      <c r="FN11" s="76">
        <f t="shared" si="19"/>
        <v>0</v>
      </c>
      <c r="FO11" s="76">
        <f t="shared" si="19"/>
        <v>0</v>
      </c>
      <c r="FP11" s="76">
        <f t="shared" si="19"/>
        <v>0</v>
      </c>
      <c r="FQ11" s="76">
        <f t="shared" si="19"/>
        <v>0</v>
      </c>
      <c r="FR11" s="76">
        <f t="shared" si="19"/>
        <v>0</v>
      </c>
      <c r="FS11" s="76">
        <f t="shared" si="19"/>
        <v>0</v>
      </c>
      <c r="FT11" s="76">
        <f t="shared" si="19"/>
        <v>0</v>
      </c>
      <c r="FU11" s="76">
        <f t="shared" si="19"/>
        <v>0</v>
      </c>
      <c r="FV11" s="76">
        <f t="shared" si="19"/>
        <v>0</v>
      </c>
      <c r="FW11" s="76">
        <f t="shared" si="19"/>
        <v>0</v>
      </c>
      <c r="FX11" s="76">
        <f t="shared" si="19"/>
        <v>0</v>
      </c>
      <c r="FY11" s="76">
        <f t="shared" si="19"/>
        <v>0</v>
      </c>
      <c r="FZ11" s="76">
        <f t="shared" si="19"/>
        <v>0</v>
      </c>
      <c r="GA11" s="76">
        <f t="shared" si="19"/>
        <v>0</v>
      </c>
      <c r="GB11" s="76">
        <f t="shared" si="19"/>
        <v>0</v>
      </c>
      <c r="GC11" s="76">
        <f t="shared" si="19"/>
        <v>0</v>
      </c>
      <c r="GD11" s="76">
        <f t="shared" si="19"/>
        <v>0</v>
      </c>
      <c r="GE11" s="76">
        <f t="shared" si="19"/>
        <v>0</v>
      </c>
      <c r="GF11" s="76">
        <f t="shared" si="19"/>
        <v>0</v>
      </c>
      <c r="GG11" s="76">
        <f t="shared" si="19"/>
        <v>0</v>
      </c>
      <c r="GH11" s="76">
        <f t="shared" si="19"/>
        <v>0</v>
      </c>
      <c r="GI11" s="76">
        <f t="shared" si="19"/>
        <v>0</v>
      </c>
      <c r="GJ11" s="76">
        <f t="shared" si="19"/>
        <v>0</v>
      </c>
      <c r="GK11" s="76">
        <f t="shared" si="19"/>
        <v>0</v>
      </c>
      <c r="GL11" s="76">
        <f t="shared" si="19"/>
        <v>0</v>
      </c>
      <c r="GM11" s="76">
        <f t="shared" si="19"/>
        <v>0</v>
      </c>
      <c r="GN11" s="76">
        <f t="shared" si="19"/>
        <v>0</v>
      </c>
      <c r="GO11" s="76">
        <f t="shared" si="19"/>
        <v>0</v>
      </c>
      <c r="GP11" s="76">
        <f t="shared" si="19"/>
        <v>0</v>
      </c>
      <c r="GQ11" s="76">
        <f t="shared" si="19"/>
        <v>0</v>
      </c>
      <c r="GR11" s="76">
        <f t="shared" si="19"/>
        <v>0</v>
      </c>
      <c r="GS11" s="76">
        <f t="shared" si="19"/>
        <v>0</v>
      </c>
      <c r="GT11" s="76">
        <f t="shared" si="19"/>
        <v>0</v>
      </c>
      <c r="GU11" s="76">
        <f t="shared" si="19"/>
        <v>0</v>
      </c>
      <c r="GV11" s="76">
        <f t="shared" si="19"/>
        <v>0</v>
      </c>
      <c r="GW11" s="76">
        <f t="shared" si="19"/>
        <v>0</v>
      </c>
      <c r="GX11" s="76">
        <f t="shared" si="19"/>
        <v>0</v>
      </c>
      <c r="GY11" s="76">
        <f t="shared" si="19"/>
        <v>0</v>
      </c>
      <c r="GZ11" s="76">
        <f t="shared" si="19"/>
        <v>0</v>
      </c>
      <c r="HA11" s="76">
        <f t="shared" si="19"/>
        <v>0</v>
      </c>
      <c r="HB11" s="76">
        <f t="shared" si="19"/>
        <v>0</v>
      </c>
      <c r="HC11" s="76">
        <f t="shared" si="19"/>
        <v>0</v>
      </c>
      <c r="HD11" s="76">
        <f t="shared" si="19"/>
        <v>0</v>
      </c>
      <c r="HE11" s="76">
        <f t="shared" ref="HE11:IB11" si="20">HE10*$E$19</f>
        <v>0</v>
      </c>
      <c r="HF11" s="76">
        <f t="shared" si="20"/>
        <v>0</v>
      </c>
      <c r="HG11" s="76">
        <f t="shared" si="20"/>
        <v>0</v>
      </c>
      <c r="HH11" s="76">
        <f t="shared" si="20"/>
        <v>0</v>
      </c>
      <c r="HI11" s="76">
        <f t="shared" si="20"/>
        <v>0</v>
      </c>
      <c r="HJ11" s="76">
        <f t="shared" si="20"/>
        <v>0</v>
      </c>
      <c r="HK11" s="76">
        <f t="shared" si="20"/>
        <v>0</v>
      </c>
      <c r="HL11" s="76">
        <f t="shared" si="20"/>
        <v>0</v>
      </c>
      <c r="HM11" s="76">
        <f t="shared" si="20"/>
        <v>0</v>
      </c>
      <c r="HN11" s="76">
        <f t="shared" si="20"/>
        <v>0</v>
      </c>
      <c r="HO11" s="76">
        <f t="shared" si="20"/>
        <v>0</v>
      </c>
      <c r="HP11" s="76">
        <f t="shared" si="20"/>
        <v>0</v>
      </c>
      <c r="HQ11" s="76">
        <f t="shared" si="20"/>
        <v>0</v>
      </c>
      <c r="HR11" s="76">
        <f t="shared" si="20"/>
        <v>0</v>
      </c>
      <c r="HS11" s="76">
        <f t="shared" si="20"/>
        <v>0</v>
      </c>
      <c r="HT11" s="76">
        <f t="shared" si="20"/>
        <v>0</v>
      </c>
      <c r="HU11" s="76">
        <f t="shared" si="20"/>
        <v>0</v>
      </c>
      <c r="HV11" s="76">
        <f t="shared" si="20"/>
        <v>0</v>
      </c>
      <c r="HW11" s="76">
        <f t="shared" si="20"/>
        <v>0</v>
      </c>
      <c r="HX11" s="76">
        <f t="shared" si="20"/>
        <v>0</v>
      </c>
      <c r="HY11" s="76">
        <f t="shared" si="20"/>
        <v>0</v>
      </c>
      <c r="HZ11" s="76">
        <f t="shared" si="20"/>
        <v>0</v>
      </c>
      <c r="IA11" s="76">
        <f t="shared" si="20"/>
        <v>0</v>
      </c>
      <c r="IB11" s="76">
        <f t="shared" si="20"/>
        <v>0</v>
      </c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</row>
    <row r="12" spans="1:251" ht="18" customHeight="1" x14ac:dyDescent="0.3">
      <c r="A12" s="77">
        <v>1</v>
      </c>
      <c r="C12" s="21"/>
      <c r="D12" s="54" t="s">
        <v>21</v>
      </c>
      <c r="E12" s="327">
        <v>250000000</v>
      </c>
      <c r="F12" s="78"/>
      <c r="G12" s="79"/>
      <c r="H12" s="75"/>
      <c r="I12" s="49" t="s">
        <v>25</v>
      </c>
      <c r="J12" s="25"/>
      <c r="K12" s="69">
        <f>$E19</f>
        <v>0.85</v>
      </c>
      <c r="P12" s="25"/>
      <c r="Q12" s="25"/>
      <c r="R12" s="75"/>
      <c r="S12" s="27"/>
      <c r="T12" s="80" t="s">
        <v>26</v>
      </c>
      <c r="U12" s="81">
        <f>IF($E$9&gt;=U$7,MAX(0,U11-U17),0)</f>
        <v>110069922.97</v>
      </c>
      <c r="V12" s="81">
        <f>IF($E$9&gt;=V$7,MAX(0,V11-V17),0)</f>
        <v>103954927.24944444</v>
      </c>
      <c r="W12" s="81">
        <f>IF($E$9&gt;=W$7,MAX(0,W11-W17),0)</f>
        <v>97839931.528888881</v>
      </c>
      <c r="X12" s="81">
        <f t="shared" ref="X12:CF12" si="21">IF($E$9&gt;=X$7,MAX(0,X11-X17),0)</f>
        <v>91724935.808333322</v>
      </c>
      <c r="Y12" s="81">
        <f t="shared" si="21"/>
        <v>85609940.087777764</v>
      </c>
      <c r="Z12" s="81">
        <f t="shared" si="21"/>
        <v>79494944.367222205</v>
      </c>
      <c r="AA12" s="81">
        <f t="shared" si="21"/>
        <v>73379948.646666646</v>
      </c>
      <c r="AB12" s="81">
        <f t="shared" si="21"/>
        <v>67264952.926111102</v>
      </c>
      <c r="AC12" s="81">
        <f t="shared" si="21"/>
        <v>61149957.205555558</v>
      </c>
      <c r="AD12" s="81">
        <f t="shared" si="21"/>
        <v>55034961.485000014</v>
      </c>
      <c r="AE12" s="81">
        <f t="shared" si="21"/>
        <v>48919965.76444447</v>
      </c>
      <c r="AF12" s="81">
        <f t="shared" si="21"/>
        <v>42804970.043888927</v>
      </c>
      <c r="AG12" s="81">
        <f t="shared" si="21"/>
        <v>36689974.323333353</v>
      </c>
      <c r="AH12" s="81">
        <f t="shared" si="21"/>
        <v>30574978.602777779</v>
      </c>
      <c r="AI12" s="81">
        <f t="shared" si="21"/>
        <v>24459982.882222235</v>
      </c>
      <c r="AJ12" s="81">
        <f t="shared" si="21"/>
        <v>18344987.161666691</v>
      </c>
      <c r="AK12" s="81">
        <f t="shared" si="21"/>
        <v>12229991.441111118</v>
      </c>
      <c r="AL12" s="81">
        <f t="shared" si="21"/>
        <v>6114995.7205555439</v>
      </c>
      <c r="AM12" s="81">
        <f t="shared" si="21"/>
        <v>0</v>
      </c>
      <c r="AN12" s="81">
        <f t="shared" si="21"/>
        <v>0</v>
      </c>
      <c r="AO12" s="81">
        <f t="shared" si="21"/>
        <v>0</v>
      </c>
      <c r="AP12" s="81">
        <f t="shared" si="21"/>
        <v>0</v>
      </c>
      <c r="AQ12" s="81">
        <f t="shared" si="21"/>
        <v>0</v>
      </c>
      <c r="AR12" s="81">
        <f t="shared" si="21"/>
        <v>0</v>
      </c>
      <c r="AS12" s="81">
        <f t="shared" si="21"/>
        <v>0</v>
      </c>
      <c r="AT12" s="81">
        <f t="shared" si="21"/>
        <v>0</v>
      </c>
      <c r="AU12" s="81">
        <f t="shared" si="21"/>
        <v>0</v>
      </c>
      <c r="AV12" s="81">
        <f t="shared" si="21"/>
        <v>0</v>
      </c>
      <c r="AW12" s="81">
        <f t="shared" si="21"/>
        <v>0</v>
      </c>
      <c r="AX12" s="81">
        <f t="shared" si="21"/>
        <v>0</v>
      </c>
      <c r="AY12" s="81">
        <f t="shared" si="21"/>
        <v>0</v>
      </c>
      <c r="AZ12" s="81">
        <f t="shared" si="21"/>
        <v>0</v>
      </c>
      <c r="BA12" s="81">
        <f t="shared" si="21"/>
        <v>0</v>
      </c>
      <c r="BB12" s="81">
        <f t="shared" si="21"/>
        <v>0</v>
      </c>
      <c r="BC12" s="81">
        <f t="shared" si="21"/>
        <v>0</v>
      </c>
      <c r="BD12" s="81">
        <f t="shared" si="21"/>
        <v>0</v>
      </c>
      <c r="BE12" s="81">
        <f t="shared" si="21"/>
        <v>0</v>
      </c>
      <c r="BF12" s="81">
        <f t="shared" si="21"/>
        <v>0</v>
      </c>
      <c r="BG12" s="81">
        <f t="shared" si="21"/>
        <v>0</v>
      </c>
      <c r="BH12" s="81">
        <f t="shared" si="21"/>
        <v>0</v>
      </c>
      <c r="BI12" s="81">
        <f t="shared" si="21"/>
        <v>0</v>
      </c>
      <c r="BJ12" s="81">
        <f t="shared" si="21"/>
        <v>0</v>
      </c>
      <c r="BK12" s="81">
        <f t="shared" si="21"/>
        <v>0</v>
      </c>
      <c r="BL12" s="81">
        <f t="shared" si="21"/>
        <v>0</v>
      </c>
      <c r="BM12" s="81">
        <f t="shared" si="21"/>
        <v>0</v>
      </c>
      <c r="BN12" s="81">
        <f t="shared" si="21"/>
        <v>0</v>
      </c>
      <c r="BO12" s="81">
        <f t="shared" si="21"/>
        <v>0</v>
      </c>
      <c r="BP12" s="81">
        <f t="shared" si="21"/>
        <v>0</v>
      </c>
      <c r="BQ12" s="81">
        <f t="shared" si="21"/>
        <v>0</v>
      </c>
      <c r="BR12" s="81">
        <f t="shared" si="21"/>
        <v>0</v>
      </c>
      <c r="BS12" s="81">
        <f t="shared" si="21"/>
        <v>0</v>
      </c>
      <c r="BT12" s="81">
        <f t="shared" si="21"/>
        <v>0</v>
      </c>
      <c r="BU12" s="81">
        <f t="shared" si="21"/>
        <v>0</v>
      </c>
      <c r="BV12" s="81">
        <f t="shared" si="21"/>
        <v>0</v>
      </c>
      <c r="BW12" s="81">
        <f t="shared" si="21"/>
        <v>0</v>
      </c>
      <c r="BX12" s="81">
        <f t="shared" si="21"/>
        <v>0</v>
      </c>
      <c r="BY12" s="81">
        <f t="shared" si="21"/>
        <v>0</v>
      </c>
      <c r="BZ12" s="81">
        <f t="shared" si="21"/>
        <v>0</v>
      </c>
      <c r="CA12" s="81">
        <f t="shared" si="21"/>
        <v>0</v>
      </c>
      <c r="CB12" s="81">
        <f t="shared" si="21"/>
        <v>0</v>
      </c>
      <c r="CC12" s="81">
        <f t="shared" si="21"/>
        <v>0</v>
      </c>
      <c r="CD12" s="81">
        <f t="shared" si="21"/>
        <v>0</v>
      </c>
      <c r="CE12" s="81">
        <f t="shared" si="21"/>
        <v>0</v>
      </c>
      <c r="CF12" s="81">
        <f t="shared" si="21"/>
        <v>0</v>
      </c>
      <c r="CG12" s="81">
        <f t="shared" ref="CG12:ER12" si="22">IF($E$9&gt;=CG$7,MAX(0,CG11-CG17),0)</f>
        <v>0</v>
      </c>
      <c r="CH12" s="81">
        <f t="shared" si="22"/>
        <v>0</v>
      </c>
      <c r="CI12" s="81">
        <f t="shared" si="22"/>
        <v>0</v>
      </c>
      <c r="CJ12" s="81">
        <f t="shared" si="22"/>
        <v>0</v>
      </c>
      <c r="CK12" s="81">
        <f t="shared" si="22"/>
        <v>0</v>
      </c>
      <c r="CL12" s="81">
        <f t="shared" si="22"/>
        <v>0</v>
      </c>
      <c r="CM12" s="81">
        <f t="shared" si="22"/>
        <v>0</v>
      </c>
      <c r="CN12" s="81">
        <f t="shared" si="22"/>
        <v>0</v>
      </c>
      <c r="CO12" s="81">
        <f t="shared" si="22"/>
        <v>0</v>
      </c>
      <c r="CP12" s="81">
        <f t="shared" si="22"/>
        <v>0</v>
      </c>
      <c r="CQ12" s="81">
        <f t="shared" si="22"/>
        <v>0</v>
      </c>
      <c r="CR12" s="81">
        <f t="shared" si="22"/>
        <v>0</v>
      </c>
      <c r="CS12" s="81">
        <f t="shared" si="22"/>
        <v>0</v>
      </c>
      <c r="CT12" s="81">
        <f t="shared" si="22"/>
        <v>0</v>
      </c>
      <c r="CU12" s="81">
        <f t="shared" si="22"/>
        <v>0</v>
      </c>
      <c r="CV12" s="81">
        <f t="shared" si="22"/>
        <v>0</v>
      </c>
      <c r="CW12" s="81">
        <f t="shared" si="22"/>
        <v>0</v>
      </c>
      <c r="CX12" s="81">
        <f t="shared" si="22"/>
        <v>0</v>
      </c>
      <c r="CY12" s="81">
        <f t="shared" si="22"/>
        <v>0</v>
      </c>
      <c r="CZ12" s="81">
        <f t="shared" si="22"/>
        <v>0</v>
      </c>
      <c r="DA12" s="81">
        <f t="shared" si="22"/>
        <v>0</v>
      </c>
      <c r="DB12" s="81">
        <f t="shared" si="22"/>
        <v>0</v>
      </c>
      <c r="DC12" s="81">
        <f t="shared" si="22"/>
        <v>0</v>
      </c>
      <c r="DD12" s="81">
        <f t="shared" si="22"/>
        <v>0</v>
      </c>
      <c r="DE12" s="81">
        <f t="shared" si="22"/>
        <v>0</v>
      </c>
      <c r="DF12" s="81">
        <f t="shared" si="22"/>
        <v>0</v>
      </c>
      <c r="DG12" s="81">
        <f t="shared" si="22"/>
        <v>0</v>
      </c>
      <c r="DH12" s="81">
        <f t="shared" si="22"/>
        <v>0</v>
      </c>
      <c r="DI12" s="81">
        <f t="shared" si="22"/>
        <v>0</v>
      </c>
      <c r="DJ12" s="81">
        <f t="shared" si="22"/>
        <v>0</v>
      </c>
      <c r="DK12" s="81">
        <f t="shared" si="22"/>
        <v>0</v>
      </c>
      <c r="DL12" s="81">
        <f t="shared" si="22"/>
        <v>0</v>
      </c>
      <c r="DM12" s="81">
        <f t="shared" si="22"/>
        <v>0</v>
      </c>
      <c r="DN12" s="81">
        <f t="shared" si="22"/>
        <v>0</v>
      </c>
      <c r="DO12" s="81">
        <f t="shared" si="22"/>
        <v>0</v>
      </c>
      <c r="DP12" s="81">
        <f t="shared" si="22"/>
        <v>0</v>
      </c>
      <c r="DQ12" s="81">
        <f t="shared" si="22"/>
        <v>0</v>
      </c>
      <c r="DR12" s="81">
        <f t="shared" si="22"/>
        <v>0</v>
      </c>
      <c r="DS12" s="81">
        <f t="shared" si="22"/>
        <v>0</v>
      </c>
      <c r="DT12" s="81">
        <f t="shared" si="22"/>
        <v>0</v>
      </c>
      <c r="DU12" s="81">
        <f t="shared" si="22"/>
        <v>0</v>
      </c>
      <c r="DV12" s="81">
        <f t="shared" si="22"/>
        <v>0</v>
      </c>
      <c r="DW12" s="81">
        <f t="shared" si="22"/>
        <v>0</v>
      </c>
      <c r="DX12" s="81">
        <f t="shared" si="22"/>
        <v>0</v>
      </c>
      <c r="DY12" s="81">
        <f t="shared" si="22"/>
        <v>0</v>
      </c>
      <c r="DZ12" s="81">
        <f t="shared" si="22"/>
        <v>0</v>
      </c>
      <c r="EA12" s="81">
        <f t="shared" si="22"/>
        <v>0</v>
      </c>
      <c r="EB12" s="81">
        <f t="shared" si="22"/>
        <v>0</v>
      </c>
      <c r="EC12" s="81">
        <f t="shared" si="22"/>
        <v>0</v>
      </c>
      <c r="ED12" s="81">
        <f t="shared" si="22"/>
        <v>0</v>
      </c>
      <c r="EE12" s="81">
        <f t="shared" si="22"/>
        <v>0</v>
      </c>
      <c r="EF12" s="81">
        <f t="shared" si="22"/>
        <v>0</v>
      </c>
      <c r="EG12" s="81">
        <f t="shared" si="22"/>
        <v>0</v>
      </c>
      <c r="EH12" s="81">
        <f t="shared" si="22"/>
        <v>0</v>
      </c>
      <c r="EI12" s="81">
        <f t="shared" si="22"/>
        <v>0</v>
      </c>
      <c r="EJ12" s="81">
        <f t="shared" si="22"/>
        <v>0</v>
      </c>
      <c r="EK12" s="81">
        <f t="shared" si="22"/>
        <v>0</v>
      </c>
      <c r="EL12" s="81">
        <f t="shared" si="22"/>
        <v>0</v>
      </c>
      <c r="EM12" s="81">
        <f t="shared" si="22"/>
        <v>0</v>
      </c>
      <c r="EN12" s="81">
        <f t="shared" si="22"/>
        <v>0</v>
      </c>
      <c r="EO12" s="81">
        <f t="shared" si="22"/>
        <v>0</v>
      </c>
      <c r="EP12" s="81">
        <f t="shared" si="22"/>
        <v>0</v>
      </c>
      <c r="EQ12" s="81">
        <f t="shared" si="22"/>
        <v>0</v>
      </c>
      <c r="ER12" s="81">
        <f t="shared" si="22"/>
        <v>0</v>
      </c>
      <c r="ES12" s="81">
        <f t="shared" ref="ES12:HD12" si="23">IF($E$9&gt;=ES$7,MAX(0,ES11-ES17),0)</f>
        <v>0</v>
      </c>
      <c r="ET12" s="81">
        <f t="shared" si="23"/>
        <v>0</v>
      </c>
      <c r="EU12" s="81">
        <f t="shared" si="23"/>
        <v>0</v>
      </c>
      <c r="EV12" s="81">
        <f t="shared" si="23"/>
        <v>0</v>
      </c>
      <c r="EW12" s="81">
        <f t="shared" si="23"/>
        <v>0</v>
      </c>
      <c r="EX12" s="81">
        <f t="shared" si="23"/>
        <v>0</v>
      </c>
      <c r="EY12" s="81">
        <f t="shared" si="23"/>
        <v>0</v>
      </c>
      <c r="EZ12" s="81">
        <f t="shared" si="23"/>
        <v>0</v>
      </c>
      <c r="FA12" s="81">
        <f t="shared" si="23"/>
        <v>0</v>
      </c>
      <c r="FB12" s="81">
        <f t="shared" si="23"/>
        <v>0</v>
      </c>
      <c r="FC12" s="81">
        <f t="shared" si="23"/>
        <v>0</v>
      </c>
      <c r="FD12" s="81">
        <f t="shared" si="23"/>
        <v>0</v>
      </c>
      <c r="FE12" s="81">
        <f t="shared" si="23"/>
        <v>0</v>
      </c>
      <c r="FF12" s="81">
        <f t="shared" si="23"/>
        <v>0</v>
      </c>
      <c r="FG12" s="81">
        <f t="shared" si="23"/>
        <v>0</v>
      </c>
      <c r="FH12" s="81">
        <f t="shared" si="23"/>
        <v>0</v>
      </c>
      <c r="FI12" s="81">
        <f t="shared" si="23"/>
        <v>0</v>
      </c>
      <c r="FJ12" s="81">
        <f t="shared" si="23"/>
        <v>0</v>
      </c>
      <c r="FK12" s="81">
        <f t="shared" si="23"/>
        <v>0</v>
      </c>
      <c r="FL12" s="81">
        <f t="shared" si="23"/>
        <v>0</v>
      </c>
      <c r="FM12" s="81">
        <f t="shared" si="23"/>
        <v>0</v>
      </c>
      <c r="FN12" s="81">
        <f t="shared" si="23"/>
        <v>0</v>
      </c>
      <c r="FO12" s="81">
        <f t="shared" si="23"/>
        <v>0</v>
      </c>
      <c r="FP12" s="81">
        <f t="shared" si="23"/>
        <v>0</v>
      </c>
      <c r="FQ12" s="81">
        <f t="shared" si="23"/>
        <v>0</v>
      </c>
      <c r="FR12" s="81">
        <f t="shared" si="23"/>
        <v>0</v>
      </c>
      <c r="FS12" s="81">
        <f t="shared" si="23"/>
        <v>0</v>
      </c>
      <c r="FT12" s="81">
        <f t="shared" si="23"/>
        <v>0</v>
      </c>
      <c r="FU12" s="81">
        <f t="shared" si="23"/>
        <v>0</v>
      </c>
      <c r="FV12" s="81">
        <f t="shared" si="23"/>
        <v>0</v>
      </c>
      <c r="FW12" s="81">
        <f t="shared" si="23"/>
        <v>0</v>
      </c>
      <c r="FX12" s="81">
        <f t="shared" si="23"/>
        <v>0</v>
      </c>
      <c r="FY12" s="81">
        <f t="shared" si="23"/>
        <v>0</v>
      </c>
      <c r="FZ12" s="81">
        <f t="shared" si="23"/>
        <v>0</v>
      </c>
      <c r="GA12" s="81">
        <f t="shared" si="23"/>
        <v>0</v>
      </c>
      <c r="GB12" s="81">
        <f t="shared" si="23"/>
        <v>0</v>
      </c>
      <c r="GC12" s="81">
        <f t="shared" si="23"/>
        <v>0</v>
      </c>
      <c r="GD12" s="81">
        <f t="shared" si="23"/>
        <v>0</v>
      </c>
      <c r="GE12" s="81">
        <f t="shared" si="23"/>
        <v>0</v>
      </c>
      <c r="GF12" s="81">
        <f t="shared" si="23"/>
        <v>0</v>
      </c>
      <c r="GG12" s="81">
        <f t="shared" si="23"/>
        <v>0</v>
      </c>
      <c r="GH12" s="81">
        <f t="shared" si="23"/>
        <v>0</v>
      </c>
      <c r="GI12" s="81">
        <f t="shared" si="23"/>
        <v>0</v>
      </c>
      <c r="GJ12" s="81">
        <f t="shared" si="23"/>
        <v>0</v>
      </c>
      <c r="GK12" s="81">
        <f t="shared" si="23"/>
        <v>0</v>
      </c>
      <c r="GL12" s="81">
        <f t="shared" si="23"/>
        <v>0</v>
      </c>
      <c r="GM12" s="81">
        <f t="shared" si="23"/>
        <v>0</v>
      </c>
      <c r="GN12" s="81">
        <f t="shared" si="23"/>
        <v>0</v>
      </c>
      <c r="GO12" s="81">
        <f t="shared" si="23"/>
        <v>0</v>
      </c>
      <c r="GP12" s="81">
        <f t="shared" si="23"/>
        <v>0</v>
      </c>
      <c r="GQ12" s="81">
        <f t="shared" si="23"/>
        <v>0</v>
      </c>
      <c r="GR12" s="81">
        <f t="shared" si="23"/>
        <v>0</v>
      </c>
      <c r="GS12" s="81">
        <f t="shared" si="23"/>
        <v>0</v>
      </c>
      <c r="GT12" s="81">
        <f t="shared" si="23"/>
        <v>0</v>
      </c>
      <c r="GU12" s="81">
        <f t="shared" si="23"/>
        <v>0</v>
      </c>
      <c r="GV12" s="81">
        <f t="shared" si="23"/>
        <v>0</v>
      </c>
      <c r="GW12" s="81">
        <f t="shared" si="23"/>
        <v>0</v>
      </c>
      <c r="GX12" s="81">
        <f t="shared" si="23"/>
        <v>0</v>
      </c>
      <c r="GY12" s="81">
        <f t="shared" si="23"/>
        <v>0</v>
      </c>
      <c r="GZ12" s="81">
        <f t="shared" si="23"/>
        <v>0</v>
      </c>
      <c r="HA12" s="81">
        <f t="shared" si="23"/>
        <v>0</v>
      </c>
      <c r="HB12" s="81">
        <f t="shared" si="23"/>
        <v>0</v>
      </c>
      <c r="HC12" s="81">
        <f t="shared" si="23"/>
        <v>0</v>
      </c>
      <c r="HD12" s="81">
        <f t="shared" si="23"/>
        <v>0</v>
      </c>
      <c r="HE12" s="81">
        <f t="shared" ref="HE12:IB12" si="24">IF($E$9&gt;=HE$7,MAX(0,HE11-HE17),0)</f>
        <v>0</v>
      </c>
      <c r="HF12" s="81">
        <f t="shared" si="24"/>
        <v>0</v>
      </c>
      <c r="HG12" s="81">
        <f t="shared" si="24"/>
        <v>0</v>
      </c>
      <c r="HH12" s="81">
        <f t="shared" si="24"/>
        <v>0</v>
      </c>
      <c r="HI12" s="81">
        <f t="shared" si="24"/>
        <v>0</v>
      </c>
      <c r="HJ12" s="81">
        <f t="shared" si="24"/>
        <v>0</v>
      </c>
      <c r="HK12" s="81">
        <f t="shared" si="24"/>
        <v>0</v>
      </c>
      <c r="HL12" s="81">
        <f t="shared" si="24"/>
        <v>0</v>
      </c>
      <c r="HM12" s="81">
        <f t="shared" si="24"/>
        <v>0</v>
      </c>
      <c r="HN12" s="81">
        <f t="shared" si="24"/>
        <v>0</v>
      </c>
      <c r="HO12" s="81">
        <f t="shared" si="24"/>
        <v>0</v>
      </c>
      <c r="HP12" s="81">
        <f t="shared" si="24"/>
        <v>0</v>
      </c>
      <c r="HQ12" s="81">
        <f t="shared" si="24"/>
        <v>0</v>
      </c>
      <c r="HR12" s="81">
        <f t="shared" si="24"/>
        <v>0</v>
      </c>
      <c r="HS12" s="81">
        <f t="shared" si="24"/>
        <v>0</v>
      </c>
      <c r="HT12" s="81">
        <f t="shared" si="24"/>
        <v>0</v>
      </c>
      <c r="HU12" s="81">
        <f t="shared" si="24"/>
        <v>0</v>
      </c>
      <c r="HV12" s="81">
        <f t="shared" si="24"/>
        <v>0</v>
      </c>
      <c r="HW12" s="81">
        <f t="shared" si="24"/>
        <v>0</v>
      </c>
      <c r="HX12" s="81">
        <f t="shared" si="24"/>
        <v>0</v>
      </c>
      <c r="HY12" s="81">
        <f t="shared" si="24"/>
        <v>0</v>
      </c>
      <c r="HZ12" s="81">
        <f t="shared" si="24"/>
        <v>0</v>
      </c>
      <c r="IA12" s="81">
        <f t="shared" si="24"/>
        <v>0</v>
      </c>
      <c r="IB12" s="81">
        <f t="shared" si="24"/>
        <v>0</v>
      </c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</row>
    <row r="13" spans="1:251" ht="18" customHeight="1" x14ac:dyDescent="0.3">
      <c r="A13" s="77">
        <v>1</v>
      </c>
      <c r="C13" s="82"/>
      <c r="D13" s="83" t="s">
        <v>126</v>
      </c>
      <c r="E13" s="328">
        <v>102430077.03</v>
      </c>
      <c r="F13" s="84"/>
      <c r="G13" s="85"/>
      <c r="H13" s="75"/>
      <c r="I13" s="49" t="s">
        <v>8</v>
      </c>
      <c r="J13" s="25"/>
      <c r="K13" s="86">
        <f>E12/1000000</f>
        <v>250</v>
      </c>
      <c r="P13" s="25"/>
      <c r="Q13" s="25"/>
      <c r="R13" s="75"/>
      <c r="S13" s="27"/>
      <c r="T13" s="72" t="s">
        <v>27</v>
      </c>
      <c r="U13" s="87">
        <f>IF($E$10&gt;U$7,MAX(0,U10-U17),0)</f>
        <v>147569922.97</v>
      </c>
      <c r="V13" s="87">
        <f>IF($E$10&gt;V$7,MAX(0,V10-V17),0)</f>
        <v>141454927.24944443</v>
      </c>
      <c r="W13" s="87">
        <f t="shared" ref="W13:CG13" si="25">IF($E$10&gt;W$7,MAX(0,W10-W17),0)</f>
        <v>135339931.52888888</v>
      </c>
      <c r="X13" s="87">
        <f t="shared" si="25"/>
        <v>129224935.80833332</v>
      </c>
      <c r="Y13" s="87">
        <f>IF($E$10&gt;Y$7,MAX(0,Y10-Y17),0)</f>
        <v>123109940.08777776</v>
      </c>
      <c r="Z13" s="87">
        <f t="shared" si="25"/>
        <v>116994944.3672222</v>
      </c>
      <c r="AA13" s="87">
        <f t="shared" si="25"/>
        <v>110879948.64666665</v>
      </c>
      <c r="AB13" s="87">
        <f t="shared" si="25"/>
        <v>104764952.9261111</v>
      </c>
      <c r="AC13" s="87">
        <f t="shared" si="25"/>
        <v>98649957.205555558</v>
      </c>
      <c r="AD13" s="87">
        <f t="shared" si="25"/>
        <v>92534961.485000014</v>
      </c>
      <c r="AE13" s="87">
        <f t="shared" si="25"/>
        <v>86419965.76444447</v>
      </c>
      <c r="AF13" s="87">
        <f t="shared" si="25"/>
        <v>80304970.043888927</v>
      </c>
      <c r="AG13" s="87">
        <f t="shared" si="25"/>
        <v>74189974.323333353</v>
      </c>
      <c r="AH13" s="87">
        <f t="shared" si="25"/>
        <v>68074978.602777779</v>
      </c>
      <c r="AI13" s="87">
        <f t="shared" si="25"/>
        <v>61959982.882222235</v>
      </c>
      <c r="AJ13" s="87">
        <f t="shared" si="25"/>
        <v>55844987.161666691</v>
      </c>
      <c r="AK13" s="87">
        <f t="shared" si="25"/>
        <v>49729991.441111118</v>
      </c>
      <c r="AL13" s="87">
        <f t="shared" si="25"/>
        <v>43614995.720555544</v>
      </c>
      <c r="AM13" s="87">
        <f t="shared" si="25"/>
        <v>37500000</v>
      </c>
      <c r="AN13" s="87">
        <f t="shared" si="25"/>
        <v>37500000</v>
      </c>
      <c r="AO13" s="87">
        <f t="shared" si="25"/>
        <v>37500000</v>
      </c>
      <c r="AP13" s="87">
        <f t="shared" si="25"/>
        <v>37500000</v>
      </c>
      <c r="AQ13" s="87">
        <f t="shared" si="25"/>
        <v>37500000</v>
      </c>
      <c r="AR13" s="87">
        <f t="shared" si="25"/>
        <v>37500000</v>
      </c>
      <c r="AS13" s="87">
        <f t="shared" si="25"/>
        <v>37500000</v>
      </c>
      <c r="AT13" s="87">
        <f t="shared" si="25"/>
        <v>37500000</v>
      </c>
      <c r="AU13" s="87">
        <f t="shared" si="25"/>
        <v>37500000</v>
      </c>
      <c r="AV13" s="87">
        <f t="shared" si="25"/>
        <v>37500000</v>
      </c>
      <c r="AW13" s="87">
        <f t="shared" si="25"/>
        <v>37500000</v>
      </c>
      <c r="AX13" s="87">
        <f t="shared" si="25"/>
        <v>37500000</v>
      </c>
      <c r="AY13" s="87">
        <f t="shared" si="25"/>
        <v>0</v>
      </c>
      <c r="AZ13" s="87">
        <f t="shared" si="25"/>
        <v>0</v>
      </c>
      <c r="BA13" s="87">
        <f t="shared" si="25"/>
        <v>0</v>
      </c>
      <c r="BB13" s="87">
        <f t="shared" si="25"/>
        <v>0</v>
      </c>
      <c r="BC13" s="87">
        <f t="shared" si="25"/>
        <v>0</v>
      </c>
      <c r="BD13" s="87">
        <f t="shared" si="25"/>
        <v>0</v>
      </c>
      <c r="BE13" s="87">
        <f t="shared" si="25"/>
        <v>0</v>
      </c>
      <c r="BF13" s="87">
        <f t="shared" si="25"/>
        <v>0</v>
      </c>
      <c r="BG13" s="87">
        <f t="shared" si="25"/>
        <v>0</v>
      </c>
      <c r="BH13" s="87">
        <f t="shared" si="25"/>
        <v>0</v>
      </c>
      <c r="BI13" s="87">
        <f t="shared" si="25"/>
        <v>0</v>
      </c>
      <c r="BJ13" s="87">
        <f t="shared" si="25"/>
        <v>0</v>
      </c>
      <c r="BK13" s="87">
        <f t="shared" si="25"/>
        <v>0</v>
      </c>
      <c r="BL13" s="87">
        <f t="shared" si="25"/>
        <v>0</v>
      </c>
      <c r="BM13" s="87">
        <f t="shared" si="25"/>
        <v>0</v>
      </c>
      <c r="BN13" s="87">
        <f t="shared" si="25"/>
        <v>0</v>
      </c>
      <c r="BO13" s="87">
        <f t="shared" si="25"/>
        <v>0</v>
      </c>
      <c r="BP13" s="87">
        <f t="shared" si="25"/>
        <v>0</v>
      </c>
      <c r="BQ13" s="87">
        <f t="shared" si="25"/>
        <v>0</v>
      </c>
      <c r="BR13" s="87">
        <f t="shared" si="25"/>
        <v>0</v>
      </c>
      <c r="BS13" s="87">
        <f t="shared" si="25"/>
        <v>0</v>
      </c>
      <c r="BT13" s="87">
        <f t="shared" si="25"/>
        <v>0</v>
      </c>
      <c r="BU13" s="87">
        <f t="shared" si="25"/>
        <v>0</v>
      </c>
      <c r="BV13" s="87">
        <f t="shared" si="25"/>
        <v>0</v>
      </c>
      <c r="BW13" s="87">
        <f t="shared" si="25"/>
        <v>0</v>
      </c>
      <c r="BX13" s="87">
        <f t="shared" si="25"/>
        <v>0</v>
      </c>
      <c r="BY13" s="87">
        <f t="shared" si="25"/>
        <v>0</v>
      </c>
      <c r="BZ13" s="87">
        <f t="shared" si="25"/>
        <v>0</v>
      </c>
      <c r="CA13" s="87">
        <f t="shared" si="25"/>
        <v>0</v>
      </c>
      <c r="CB13" s="87">
        <f t="shared" si="25"/>
        <v>0</v>
      </c>
      <c r="CC13" s="87">
        <f t="shared" si="25"/>
        <v>0</v>
      </c>
      <c r="CD13" s="87">
        <f t="shared" si="25"/>
        <v>0</v>
      </c>
      <c r="CE13" s="87">
        <f t="shared" si="25"/>
        <v>0</v>
      </c>
      <c r="CF13" s="87">
        <f t="shared" si="25"/>
        <v>0</v>
      </c>
      <c r="CG13" s="87">
        <f t="shared" si="25"/>
        <v>0</v>
      </c>
      <c r="CH13" s="87">
        <f t="shared" ref="CH13:ES13" si="26">IF($E$10&gt;CH$7,MAX(0,CH10-CH17),0)</f>
        <v>0</v>
      </c>
      <c r="CI13" s="87">
        <f t="shared" si="26"/>
        <v>0</v>
      </c>
      <c r="CJ13" s="87">
        <f t="shared" si="26"/>
        <v>0</v>
      </c>
      <c r="CK13" s="87">
        <f t="shared" si="26"/>
        <v>0</v>
      </c>
      <c r="CL13" s="87">
        <f t="shared" si="26"/>
        <v>0</v>
      </c>
      <c r="CM13" s="87">
        <f t="shared" si="26"/>
        <v>0</v>
      </c>
      <c r="CN13" s="87">
        <f t="shared" si="26"/>
        <v>0</v>
      </c>
      <c r="CO13" s="87">
        <f t="shared" si="26"/>
        <v>0</v>
      </c>
      <c r="CP13" s="87">
        <f t="shared" si="26"/>
        <v>0</v>
      </c>
      <c r="CQ13" s="87">
        <f t="shared" si="26"/>
        <v>0</v>
      </c>
      <c r="CR13" s="87">
        <f t="shared" si="26"/>
        <v>0</v>
      </c>
      <c r="CS13" s="87">
        <f t="shared" si="26"/>
        <v>0</v>
      </c>
      <c r="CT13" s="87">
        <f t="shared" si="26"/>
        <v>0</v>
      </c>
      <c r="CU13" s="87">
        <f t="shared" si="26"/>
        <v>0</v>
      </c>
      <c r="CV13" s="87">
        <f t="shared" si="26"/>
        <v>0</v>
      </c>
      <c r="CW13" s="87">
        <f t="shared" si="26"/>
        <v>0</v>
      </c>
      <c r="CX13" s="87">
        <f t="shared" si="26"/>
        <v>0</v>
      </c>
      <c r="CY13" s="87">
        <f t="shared" si="26"/>
        <v>0</v>
      </c>
      <c r="CZ13" s="87">
        <f t="shared" si="26"/>
        <v>0</v>
      </c>
      <c r="DA13" s="87">
        <f t="shared" si="26"/>
        <v>0</v>
      </c>
      <c r="DB13" s="87">
        <f t="shared" si="26"/>
        <v>0</v>
      </c>
      <c r="DC13" s="87">
        <f t="shared" si="26"/>
        <v>0</v>
      </c>
      <c r="DD13" s="87">
        <f t="shared" si="26"/>
        <v>0</v>
      </c>
      <c r="DE13" s="87">
        <f t="shared" si="26"/>
        <v>0</v>
      </c>
      <c r="DF13" s="87">
        <f t="shared" si="26"/>
        <v>0</v>
      </c>
      <c r="DG13" s="87">
        <f t="shared" si="26"/>
        <v>0</v>
      </c>
      <c r="DH13" s="87">
        <f t="shared" si="26"/>
        <v>0</v>
      </c>
      <c r="DI13" s="87">
        <f t="shared" si="26"/>
        <v>0</v>
      </c>
      <c r="DJ13" s="87">
        <f t="shared" si="26"/>
        <v>0</v>
      </c>
      <c r="DK13" s="87">
        <f t="shared" si="26"/>
        <v>0</v>
      </c>
      <c r="DL13" s="87">
        <f t="shared" si="26"/>
        <v>0</v>
      </c>
      <c r="DM13" s="87">
        <f t="shared" si="26"/>
        <v>0</v>
      </c>
      <c r="DN13" s="87">
        <f t="shared" si="26"/>
        <v>0</v>
      </c>
      <c r="DO13" s="87">
        <f t="shared" si="26"/>
        <v>0</v>
      </c>
      <c r="DP13" s="87">
        <f t="shared" si="26"/>
        <v>0</v>
      </c>
      <c r="DQ13" s="87">
        <f t="shared" si="26"/>
        <v>0</v>
      </c>
      <c r="DR13" s="87">
        <f t="shared" si="26"/>
        <v>0</v>
      </c>
      <c r="DS13" s="87">
        <f t="shared" si="26"/>
        <v>0</v>
      </c>
      <c r="DT13" s="87">
        <f t="shared" si="26"/>
        <v>0</v>
      </c>
      <c r="DU13" s="87">
        <f t="shared" si="26"/>
        <v>0</v>
      </c>
      <c r="DV13" s="87">
        <f t="shared" si="26"/>
        <v>0</v>
      </c>
      <c r="DW13" s="87">
        <f t="shared" si="26"/>
        <v>0</v>
      </c>
      <c r="DX13" s="87">
        <f t="shared" si="26"/>
        <v>0</v>
      </c>
      <c r="DY13" s="87">
        <f t="shared" si="26"/>
        <v>0</v>
      </c>
      <c r="DZ13" s="87">
        <f t="shared" si="26"/>
        <v>0</v>
      </c>
      <c r="EA13" s="87">
        <f t="shared" si="26"/>
        <v>0</v>
      </c>
      <c r="EB13" s="87">
        <f t="shared" si="26"/>
        <v>0</v>
      </c>
      <c r="EC13" s="87">
        <f t="shared" si="26"/>
        <v>0</v>
      </c>
      <c r="ED13" s="87">
        <f t="shared" si="26"/>
        <v>0</v>
      </c>
      <c r="EE13" s="87">
        <f t="shared" si="26"/>
        <v>0</v>
      </c>
      <c r="EF13" s="87">
        <f t="shared" si="26"/>
        <v>0</v>
      </c>
      <c r="EG13" s="87">
        <f t="shared" si="26"/>
        <v>0</v>
      </c>
      <c r="EH13" s="87">
        <f t="shared" si="26"/>
        <v>0</v>
      </c>
      <c r="EI13" s="87">
        <f t="shared" si="26"/>
        <v>0</v>
      </c>
      <c r="EJ13" s="87">
        <f t="shared" si="26"/>
        <v>0</v>
      </c>
      <c r="EK13" s="87">
        <f t="shared" si="26"/>
        <v>0</v>
      </c>
      <c r="EL13" s="87">
        <f t="shared" si="26"/>
        <v>0</v>
      </c>
      <c r="EM13" s="87">
        <f t="shared" si="26"/>
        <v>0</v>
      </c>
      <c r="EN13" s="87">
        <f t="shared" si="26"/>
        <v>0</v>
      </c>
      <c r="EO13" s="87">
        <f t="shared" si="26"/>
        <v>0</v>
      </c>
      <c r="EP13" s="87">
        <f t="shared" si="26"/>
        <v>0</v>
      </c>
      <c r="EQ13" s="87">
        <f t="shared" si="26"/>
        <v>0</v>
      </c>
      <c r="ER13" s="87">
        <f t="shared" si="26"/>
        <v>0</v>
      </c>
      <c r="ES13" s="87">
        <f t="shared" si="26"/>
        <v>0</v>
      </c>
      <c r="ET13" s="87">
        <f t="shared" ref="ET13:HE13" si="27">IF($E$10&gt;ET$7,MAX(0,ET10-ET17),0)</f>
        <v>0</v>
      </c>
      <c r="EU13" s="87">
        <f t="shared" si="27"/>
        <v>0</v>
      </c>
      <c r="EV13" s="87">
        <f t="shared" si="27"/>
        <v>0</v>
      </c>
      <c r="EW13" s="87">
        <f t="shared" si="27"/>
        <v>0</v>
      </c>
      <c r="EX13" s="87">
        <f t="shared" si="27"/>
        <v>0</v>
      </c>
      <c r="EY13" s="87">
        <f t="shared" si="27"/>
        <v>0</v>
      </c>
      <c r="EZ13" s="87">
        <f t="shared" si="27"/>
        <v>0</v>
      </c>
      <c r="FA13" s="87">
        <f t="shared" si="27"/>
        <v>0</v>
      </c>
      <c r="FB13" s="87">
        <f t="shared" si="27"/>
        <v>0</v>
      </c>
      <c r="FC13" s="87">
        <f t="shared" si="27"/>
        <v>0</v>
      </c>
      <c r="FD13" s="87">
        <f t="shared" si="27"/>
        <v>0</v>
      </c>
      <c r="FE13" s="87">
        <f t="shared" si="27"/>
        <v>0</v>
      </c>
      <c r="FF13" s="87">
        <f t="shared" si="27"/>
        <v>0</v>
      </c>
      <c r="FG13" s="87">
        <f t="shared" si="27"/>
        <v>0</v>
      </c>
      <c r="FH13" s="87">
        <f t="shared" si="27"/>
        <v>0</v>
      </c>
      <c r="FI13" s="87">
        <f t="shared" si="27"/>
        <v>0</v>
      </c>
      <c r="FJ13" s="87">
        <f t="shared" si="27"/>
        <v>0</v>
      </c>
      <c r="FK13" s="87">
        <f t="shared" si="27"/>
        <v>0</v>
      </c>
      <c r="FL13" s="87">
        <f t="shared" si="27"/>
        <v>0</v>
      </c>
      <c r="FM13" s="87">
        <f t="shared" si="27"/>
        <v>0</v>
      </c>
      <c r="FN13" s="87">
        <f t="shared" si="27"/>
        <v>0</v>
      </c>
      <c r="FO13" s="87">
        <f t="shared" si="27"/>
        <v>0</v>
      </c>
      <c r="FP13" s="87">
        <f t="shared" si="27"/>
        <v>0</v>
      </c>
      <c r="FQ13" s="87">
        <f t="shared" si="27"/>
        <v>0</v>
      </c>
      <c r="FR13" s="87">
        <f t="shared" si="27"/>
        <v>0</v>
      </c>
      <c r="FS13" s="87">
        <f t="shared" si="27"/>
        <v>0</v>
      </c>
      <c r="FT13" s="87">
        <f t="shared" si="27"/>
        <v>0</v>
      </c>
      <c r="FU13" s="87">
        <f t="shared" si="27"/>
        <v>0</v>
      </c>
      <c r="FV13" s="87">
        <f t="shared" si="27"/>
        <v>0</v>
      </c>
      <c r="FW13" s="87">
        <f t="shared" si="27"/>
        <v>0</v>
      </c>
      <c r="FX13" s="87">
        <f t="shared" si="27"/>
        <v>0</v>
      </c>
      <c r="FY13" s="87">
        <f t="shared" si="27"/>
        <v>0</v>
      </c>
      <c r="FZ13" s="87">
        <f t="shared" si="27"/>
        <v>0</v>
      </c>
      <c r="GA13" s="87">
        <f t="shared" si="27"/>
        <v>0</v>
      </c>
      <c r="GB13" s="87">
        <f t="shared" si="27"/>
        <v>0</v>
      </c>
      <c r="GC13" s="87">
        <f t="shared" si="27"/>
        <v>0</v>
      </c>
      <c r="GD13" s="87">
        <f t="shared" si="27"/>
        <v>0</v>
      </c>
      <c r="GE13" s="87">
        <f t="shared" si="27"/>
        <v>0</v>
      </c>
      <c r="GF13" s="87">
        <f t="shared" si="27"/>
        <v>0</v>
      </c>
      <c r="GG13" s="87">
        <f t="shared" si="27"/>
        <v>0</v>
      </c>
      <c r="GH13" s="87">
        <f t="shared" si="27"/>
        <v>0</v>
      </c>
      <c r="GI13" s="87">
        <f t="shared" si="27"/>
        <v>0</v>
      </c>
      <c r="GJ13" s="87">
        <f t="shared" si="27"/>
        <v>0</v>
      </c>
      <c r="GK13" s="87">
        <f t="shared" si="27"/>
        <v>0</v>
      </c>
      <c r="GL13" s="87">
        <f t="shared" si="27"/>
        <v>0</v>
      </c>
      <c r="GM13" s="87">
        <f t="shared" si="27"/>
        <v>0</v>
      </c>
      <c r="GN13" s="87">
        <f t="shared" si="27"/>
        <v>0</v>
      </c>
      <c r="GO13" s="87">
        <f t="shared" si="27"/>
        <v>0</v>
      </c>
      <c r="GP13" s="87">
        <f t="shared" si="27"/>
        <v>0</v>
      </c>
      <c r="GQ13" s="87">
        <f t="shared" si="27"/>
        <v>0</v>
      </c>
      <c r="GR13" s="87">
        <f t="shared" si="27"/>
        <v>0</v>
      </c>
      <c r="GS13" s="87">
        <f t="shared" si="27"/>
        <v>0</v>
      </c>
      <c r="GT13" s="87">
        <f t="shared" si="27"/>
        <v>0</v>
      </c>
      <c r="GU13" s="87">
        <f t="shared" si="27"/>
        <v>0</v>
      </c>
      <c r="GV13" s="87">
        <f t="shared" si="27"/>
        <v>0</v>
      </c>
      <c r="GW13" s="87">
        <f t="shared" si="27"/>
        <v>0</v>
      </c>
      <c r="GX13" s="87">
        <f t="shared" si="27"/>
        <v>0</v>
      </c>
      <c r="GY13" s="87">
        <f t="shared" si="27"/>
        <v>0</v>
      </c>
      <c r="GZ13" s="87">
        <f t="shared" si="27"/>
        <v>0</v>
      </c>
      <c r="HA13" s="87">
        <f t="shared" si="27"/>
        <v>0</v>
      </c>
      <c r="HB13" s="87">
        <f t="shared" si="27"/>
        <v>0</v>
      </c>
      <c r="HC13" s="87">
        <f t="shared" si="27"/>
        <v>0</v>
      </c>
      <c r="HD13" s="87">
        <f t="shared" si="27"/>
        <v>0</v>
      </c>
      <c r="HE13" s="87">
        <f t="shared" si="27"/>
        <v>0</v>
      </c>
      <c r="HF13" s="87">
        <f t="shared" ref="HF13:IB13" si="28">IF($E$10&gt;HF$7,MAX(0,HF10-HF17),0)</f>
        <v>0</v>
      </c>
      <c r="HG13" s="87">
        <f t="shared" si="28"/>
        <v>0</v>
      </c>
      <c r="HH13" s="87">
        <f t="shared" si="28"/>
        <v>0</v>
      </c>
      <c r="HI13" s="87">
        <f t="shared" si="28"/>
        <v>0</v>
      </c>
      <c r="HJ13" s="87">
        <f t="shared" si="28"/>
        <v>0</v>
      </c>
      <c r="HK13" s="87">
        <f t="shared" si="28"/>
        <v>0</v>
      </c>
      <c r="HL13" s="87">
        <f t="shared" si="28"/>
        <v>0</v>
      </c>
      <c r="HM13" s="87">
        <f t="shared" si="28"/>
        <v>0</v>
      </c>
      <c r="HN13" s="87">
        <f t="shared" si="28"/>
        <v>0</v>
      </c>
      <c r="HO13" s="87">
        <f t="shared" si="28"/>
        <v>0</v>
      </c>
      <c r="HP13" s="87">
        <f t="shared" si="28"/>
        <v>0</v>
      </c>
      <c r="HQ13" s="87">
        <f t="shared" si="28"/>
        <v>0</v>
      </c>
      <c r="HR13" s="87">
        <f t="shared" si="28"/>
        <v>0</v>
      </c>
      <c r="HS13" s="87">
        <f t="shared" si="28"/>
        <v>0</v>
      </c>
      <c r="HT13" s="87">
        <f t="shared" si="28"/>
        <v>0</v>
      </c>
      <c r="HU13" s="87">
        <f t="shared" si="28"/>
        <v>0</v>
      </c>
      <c r="HV13" s="87">
        <f t="shared" si="28"/>
        <v>0</v>
      </c>
      <c r="HW13" s="87">
        <f t="shared" si="28"/>
        <v>0</v>
      </c>
      <c r="HX13" s="87">
        <f t="shared" si="28"/>
        <v>0</v>
      </c>
      <c r="HY13" s="87">
        <f t="shared" si="28"/>
        <v>0</v>
      </c>
      <c r="HZ13" s="87">
        <f t="shared" si="28"/>
        <v>0</v>
      </c>
      <c r="IA13" s="87">
        <f t="shared" si="28"/>
        <v>0</v>
      </c>
      <c r="IB13" s="87">
        <f t="shared" si="28"/>
        <v>0</v>
      </c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</row>
    <row r="14" spans="1:251" ht="18" customHeight="1" x14ac:dyDescent="0.3">
      <c r="A14" s="88">
        <v>1</v>
      </c>
      <c r="C14" s="21"/>
      <c r="D14" s="83" t="s">
        <v>130</v>
      </c>
      <c r="E14" s="328">
        <v>102430077.03</v>
      </c>
      <c r="F14" s="84"/>
      <c r="G14" s="85"/>
      <c r="H14" s="89"/>
      <c r="I14" s="90" t="s">
        <v>28</v>
      </c>
      <c r="J14" s="91"/>
      <c r="K14" s="92">
        <f>E13/1000000</f>
        <v>102.43007703000001</v>
      </c>
      <c r="P14" s="25"/>
      <c r="Q14" s="25"/>
      <c r="R14" s="89"/>
      <c r="S14" s="27"/>
      <c r="T14" s="80" t="s">
        <v>29</v>
      </c>
      <c r="U14" s="81"/>
      <c r="V14" s="81">
        <f>U17</f>
        <v>102430077.03</v>
      </c>
      <c r="W14" s="81">
        <f>V17</f>
        <v>108545072.75055556</v>
      </c>
      <c r="X14" s="81">
        <f t="shared" ref="X14:CH14" si="29">W17</f>
        <v>114660068.47111112</v>
      </c>
      <c r="Y14" s="81">
        <f t="shared" si="29"/>
        <v>120775064.19166668</v>
      </c>
      <c r="Z14" s="81">
        <f t="shared" si="29"/>
        <v>126890059.91222224</v>
      </c>
      <c r="AA14" s="81">
        <f>Z17</f>
        <v>133005055.6327778</v>
      </c>
      <c r="AB14" s="81">
        <f t="shared" si="29"/>
        <v>139120051.35333335</v>
      </c>
      <c r="AC14" s="81">
        <f t="shared" si="29"/>
        <v>145235047.0738889</v>
      </c>
      <c r="AD14" s="81">
        <f t="shared" si="29"/>
        <v>151350042.79444444</v>
      </c>
      <c r="AE14" s="81">
        <f t="shared" si="29"/>
        <v>157465038.51499999</v>
      </c>
      <c r="AF14" s="81">
        <f t="shared" si="29"/>
        <v>163580034.23555553</v>
      </c>
      <c r="AG14" s="81">
        <f t="shared" si="29"/>
        <v>169695029.95611107</v>
      </c>
      <c r="AH14" s="81">
        <f t="shared" si="29"/>
        <v>175810025.67666665</v>
      </c>
      <c r="AI14" s="81">
        <f t="shared" si="29"/>
        <v>181925021.39722222</v>
      </c>
      <c r="AJ14" s="81">
        <f t="shared" si="29"/>
        <v>188040017.11777776</v>
      </c>
      <c r="AK14" s="81">
        <f t="shared" si="29"/>
        <v>194155012.83833331</v>
      </c>
      <c r="AL14" s="81">
        <f t="shared" si="29"/>
        <v>200270008.55888888</v>
      </c>
      <c r="AM14" s="81">
        <f t="shared" si="29"/>
        <v>206385004.27944446</v>
      </c>
      <c r="AN14" s="81">
        <f t="shared" si="29"/>
        <v>212500000</v>
      </c>
      <c r="AO14" s="81">
        <f t="shared" si="29"/>
        <v>212500000</v>
      </c>
      <c r="AP14" s="81">
        <f t="shared" si="29"/>
        <v>212500000</v>
      </c>
      <c r="AQ14" s="81">
        <f t="shared" si="29"/>
        <v>212500000</v>
      </c>
      <c r="AR14" s="81">
        <f t="shared" si="29"/>
        <v>212500000</v>
      </c>
      <c r="AS14" s="81">
        <f t="shared" si="29"/>
        <v>212500000</v>
      </c>
      <c r="AT14" s="81">
        <f t="shared" si="29"/>
        <v>212500000</v>
      </c>
      <c r="AU14" s="81">
        <f t="shared" si="29"/>
        <v>212500000</v>
      </c>
      <c r="AV14" s="81">
        <f t="shared" si="29"/>
        <v>212500000</v>
      </c>
      <c r="AW14" s="81">
        <f t="shared" si="29"/>
        <v>212500000</v>
      </c>
      <c r="AX14" s="81">
        <f t="shared" si="29"/>
        <v>212500000</v>
      </c>
      <c r="AY14" s="81">
        <f t="shared" si="29"/>
        <v>212500000</v>
      </c>
      <c r="AZ14" s="81">
        <f t="shared" si="29"/>
        <v>212500000</v>
      </c>
      <c r="BA14" s="81">
        <f t="shared" si="29"/>
        <v>203645833.33333334</v>
      </c>
      <c r="BB14" s="81">
        <f t="shared" si="29"/>
        <v>194791666.66666669</v>
      </c>
      <c r="BC14" s="81">
        <f t="shared" si="29"/>
        <v>185937500.00000003</v>
      </c>
      <c r="BD14" s="81">
        <f t="shared" si="29"/>
        <v>177083333.33333337</v>
      </c>
      <c r="BE14" s="81">
        <f t="shared" si="29"/>
        <v>168229166.66666672</v>
      </c>
      <c r="BF14" s="81">
        <f t="shared" si="29"/>
        <v>159375000.00000006</v>
      </c>
      <c r="BG14" s="81">
        <f t="shared" si="29"/>
        <v>150520833.3333334</v>
      </c>
      <c r="BH14" s="81">
        <f t="shared" si="29"/>
        <v>141666666.66666675</v>
      </c>
      <c r="BI14" s="81">
        <f t="shared" si="29"/>
        <v>132812500.00000007</v>
      </c>
      <c r="BJ14" s="81">
        <f t="shared" si="29"/>
        <v>123958333.3333334</v>
      </c>
      <c r="BK14" s="81">
        <f t="shared" si="29"/>
        <v>115104166.66666673</v>
      </c>
      <c r="BL14" s="81">
        <f t="shared" si="29"/>
        <v>106250000.00000006</v>
      </c>
      <c r="BM14" s="81">
        <f t="shared" si="29"/>
        <v>97395833.333333388</v>
      </c>
      <c r="BN14" s="81">
        <f t="shared" si="29"/>
        <v>88541666.666666716</v>
      </c>
      <c r="BO14" s="81">
        <f t="shared" si="29"/>
        <v>79687500.000000045</v>
      </c>
      <c r="BP14" s="81">
        <f t="shared" si="29"/>
        <v>70833333.333333373</v>
      </c>
      <c r="BQ14" s="81">
        <f t="shared" si="29"/>
        <v>61979166.666666701</v>
      </c>
      <c r="BR14" s="81">
        <f t="shared" si="29"/>
        <v>53125000.00000003</v>
      </c>
      <c r="BS14" s="81">
        <f t="shared" si="29"/>
        <v>44270833.333333358</v>
      </c>
      <c r="BT14" s="81">
        <f t="shared" si="29"/>
        <v>35416666.666666687</v>
      </c>
      <c r="BU14" s="81">
        <f t="shared" si="29"/>
        <v>26562500.000000015</v>
      </c>
      <c r="BV14" s="81">
        <f t="shared" si="29"/>
        <v>17708333.333333343</v>
      </c>
      <c r="BW14" s="81">
        <f t="shared" si="29"/>
        <v>8854166.6666666716</v>
      </c>
      <c r="BX14" s="81">
        <f t="shared" si="29"/>
        <v>0</v>
      </c>
      <c r="BY14" s="81">
        <f t="shared" si="29"/>
        <v>0</v>
      </c>
      <c r="BZ14" s="81">
        <f t="shared" si="29"/>
        <v>0</v>
      </c>
      <c r="CA14" s="81">
        <f t="shared" si="29"/>
        <v>0</v>
      </c>
      <c r="CB14" s="81">
        <f t="shared" si="29"/>
        <v>0</v>
      </c>
      <c r="CC14" s="81">
        <f t="shared" si="29"/>
        <v>0</v>
      </c>
      <c r="CD14" s="81">
        <f t="shared" si="29"/>
        <v>0</v>
      </c>
      <c r="CE14" s="81">
        <f t="shared" si="29"/>
        <v>0</v>
      </c>
      <c r="CF14" s="81">
        <f t="shared" si="29"/>
        <v>0</v>
      </c>
      <c r="CG14" s="81">
        <f t="shared" si="29"/>
        <v>0</v>
      </c>
      <c r="CH14" s="81">
        <f t="shared" si="29"/>
        <v>0</v>
      </c>
      <c r="CI14" s="81">
        <f t="shared" ref="CI14:ET14" si="30">CH17</f>
        <v>0</v>
      </c>
      <c r="CJ14" s="81">
        <f t="shared" si="30"/>
        <v>0</v>
      </c>
      <c r="CK14" s="81">
        <f t="shared" si="30"/>
        <v>0</v>
      </c>
      <c r="CL14" s="81">
        <f t="shared" si="30"/>
        <v>0</v>
      </c>
      <c r="CM14" s="81">
        <f t="shared" si="30"/>
        <v>0</v>
      </c>
      <c r="CN14" s="81">
        <f t="shared" si="30"/>
        <v>0</v>
      </c>
      <c r="CO14" s="81">
        <f t="shared" si="30"/>
        <v>0</v>
      </c>
      <c r="CP14" s="81">
        <f t="shared" si="30"/>
        <v>0</v>
      </c>
      <c r="CQ14" s="81">
        <f t="shared" si="30"/>
        <v>0</v>
      </c>
      <c r="CR14" s="81">
        <f t="shared" si="30"/>
        <v>0</v>
      </c>
      <c r="CS14" s="81">
        <f t="shared" si="30"/>
        <v>0</v>
      </c>
      <c r="CT14" s="81">
        <f t="shared" si="30"/>
        <v>0</v>
      </c>
      <c r="CU14" s="81">
        <f t="shared" si="30"/>
        <v>0</v>
      </c>
      <c r="CV14" s="81">
        <f t="shared" si="30"/>
        <v>0</v>
      </c>
      <c r="CW14" s="81">
        <f t="shared" si="30"/>
        <v>0</v>
      </c>
      <c r="CX14" s="81">
        <f t="shared" si="30"/>
        <v>0</v>
      </c>
      <c r="CY14" s="81">
        <f t="shared" si="30"/>
        <v>0</v>
      </c>
      <c r="CZ14" s="81">
        <f t="shared" si="30"/>
        <v>0</v>
      </c>
      <c r="DA14" s="81">
        <f t="shared" si="30"/>
        <v>0</v>
      </c>
      <c r="DB14" s="81">
        <f t="shared" si="30"/>
        <v>0</v>
      </c>
      <c r="DC14" s="81">
        <f t="shared" si="30"/>
        <v>0</v>
      </c>
      <c r="DD14" s="81">
        <f t="shared" si="30"/>
        <v>0</v>
      </c>
      <c r="DE14" s="81">
        <f t="shared" si="30"/>
        <v>0</v>
      </c>
      <c r="DF14" s="81">
        <f t="shared" si="30"/>
        <v>0</v>
      </c>
      <c r="DG14" s="81">
        <f t="shared" si="30"/>
        <v>0</v>
      </c>
      <c r="DH14" s="81">
        <f t="shared" si="30"/>
        <v>0</v>
      </c>
      <c r="DI14" s="81">
        <f t="shared" si="30"/>
        <v>0</v>
      </c>
      <c r="DJ14" s="81">
        <f t="shared" si="30"/>
        <v>0</v>
      </c>
      <c r="DK14" s="81">
        <f t="shared" si="30"/>
        <v>0</v>
      </c>
      <c r="DL14" s="81">
        <f t="shared" si="30"/>
        <v>0</v>
      </c>
      <c r="DM14" s="81">
        <f t="shared" si="30"/>
        <v>0</v>
      </c>
      <c r="DN14" s="81">
        <f t="shared" si="30"/>
        <v>0</v>
      </c>
      <c r="DO14" s="81">
        <f t="shared" si="30"/>
        <v>0</v>
      </c>
      <c r="DP14" s="81">
        <f t="shared" si="30"/>
        <v>0</v>
      </c>
      <c r="DQ14" s="81">
        <f t="shared" si="30"/>
        <v>0</v>
      </c>
      <c r="DR14" s="81">
        <f t="shared" si="30"/>
        <v>0</v>
      </c>
      <c r="DS14" s="81">
        <f t="shared" si="30"/>
        <v>0</v>
      </c>
      <c r="DT14" s="81">
        <f t="shared" si="30"/>
        <v>0</v>
      </c>
      <c r="DU14" s="81">
        <f t="shared" si="30"/>
        <v>0</v>
      </c>
      <c r="DV14" s="81">
        <f t="shared" si="30"/>
        <v>0</v>
      </c>
      <c r="DW14" s="81">
        <f t="shared" si="30"/>
        <v>0</v>
      </c>
      <c r="DX14" s="81">
        <f t="shared" si="30"/>
        <v>0</v>
      </c>
      <c r="DY14" s="81">
        <f t="shared" si="30"/>
        <v>0</v>
      </c>
      <c r="DZ14" s="81">
        <f t="shared" si="30"/>
        <v>0</v>
      </c>
      <c r="EA14" s="81">
        <f t="shared" si="30"/>
        <v>0</v>
      </c>
      <c r="EB14" s="81">
        <f t="shared" si="30"/>
        <v>0</v>
      </c>
      <c r="EC14" s="81">
        <f t="shared" si="30"/>
        <v>0</v>
      </c>
      <c r="ED14" s="81">
        <f t="shared" si="30"/>
        <v>0</v>
      </c>
      <c r="EE14" s="81">
        <f t="shared" si="30"/>
        <v>0</v>
      </c>
      <c r="EF14" s="81">
        <f t="shared" si="30"/>
        <v>0</v>
      </c>
      <c r="EG14" s="81">
        <f t="shared" si="30"/>
        <v>0</v>
      </c>
      <c r="EH14" s="81">
        <f t="shared" si="30"/>
        <v>0</v>
      </c>
      <c r="EI14" s="81">
        <f t="shared" si="30"/>
        <v>0</v>
      </c>
      <c r="EJ14" s="81">
        <f t="shared" si="30"/>
        <v>0</v>
      </c>
      <c r="EK14" s="81">
        <f t="shared" si="30"/>
        <v>0</v>
      </c>
      <c r="EL14" s="81">
        <f t="shared" si="30"/>
        <v>0</v>
      </c>
      <c r="EM14" s="81">
        <f t="shared" si="30"/>
        <v>0</v>
      </c>
      <c r="EN14" s="81">
        <f t="shared" si="30"/>
        <v>0</v>
      </c>
      <c r="EO14" s="81">
        <f t="shared" si="30"/>
        <v>0</v>
      </c>
      <c r="EP14" s="81">
        <f t="shared" si="30"/>
        <v>0</v>
      </c>
      <c r="EQ14" s="81">
        <f t="shared" si="30"/>
        <v>0</v>
      </c>
      <c r="ER14" s="81">
        <f t="shared" si="30"/>
        <v>0</v>
      </c>
      <c r="ES14" s="81">
        <f t="shared" si="30"/>
        <v>0</v>
      </c>
      <c r="ET14" s="81">
        <f t="shared" si="30"/>
        <v>0</v>
      </c>
      <c r="EU14" s="81">
        <f t="shared" ref="EU14:HF14" si="31">ET17</f>
        <v>0</v>
      </c>
      <c r="EV14" s="81">
        <f t="shared" si="31"/>
        <v>0</v>
      </c>
      <c r="EW14" s="81">
        <f t="shared" si="31"/>
        <v>0</v>
      </c>
      <c r="EX14" s="81">
        <f t="shared" si="31"/>
        <v>0</v>
      </c>
      <c r="EY14" s="81">
        <f t="shared" si="31"/>
        <v>0</v>
      </c>
      <c r="EZ14" s="81">
        <f t="shared" si="31"/>
        <v>0</v>
      </c>
      <c r="FA14" s="81">
        <f t="shared" si="31"/>
        <v>0</v>
      </c>
      <c r="FB14" s="81">
        <f t="shared" si="31"/>
        <v>0</v>
      </c>
      <c r="FC14" s="81">
        <f t="shared" si="31"/>
        <v>0</v>
      </c>
      <c r="FD14" s="81">
        <f t="shared" si="31"/>
        <v>0</v>
      </c>
      <c r="FE14" s="81">
        <f t="shared" si="31"/>
        <v>0</v>
      </c>
      <c r="FF14" s="81">
        <f t="shared" si="31"/>
        <v>0</v>
      </c>
      <c r="FG14" s="81">
        <f t="shared" si="31"/>
        <v>0</v>
      </c>
      <c r="FH14" s="81">
        <f t="shared" si="31"/>
        <v>0</v>
      </c>
      <c r="FI14" s="81">
        <f t="shared" si="31"/>
        <v>0</v>
      </c>
      <c r="FJ14" s="81">
        <f t="shared" si="31"/>
        <v>0</v>
      </c>
      <c r="FK14" s="81">
        <f t="shared" si="31"/>
        <v>0</v>
      </c>
      <c r="FL14" s="81">
        <f t="shared" si="31"/>
        <v>0</v>
      </c>
      <c r="FM14" s="81">
        <f t="shared" si="31"/>
        <v>0</v>
      </c>
      <c r="FN14" s="81">
        <f t="shared" si="31"/>
        <v>0</v>
      </c>
      <c r="FO14" s="81">
        <f t="shared" si="31"/>
        <v>0</v>
      </c>
      <c r="FP14" s="81">
        <f t="shared" si="31"/>
        <v>0</v>
      </c>
      <c r="FQ14" s="81">
        <f t="shared" si="31"/>
        <v>0</v>
      </c>
      <c r="FR14" s="81">
        <f t="shared" si="31"/>
        <v>0</v>
      </c>
      <c r="FS14" s="81">
        <f t="shared" si="31"/>
        <v>0</v>
      </c>
      <c r="FT14" s="81">
        <f t="shared" si="31"/>
        <v>0</v>
      </c>
      <c r="FU14" s="81">
        <f t="shared" si="31"/>
        <v>0</v>
      </c>
      <c r="FV14" s="81">
        <f t="shared" si="31"/>
        <v>0</v>
      </c>
      <c r="FW14" s="81">
        <f t="shared" si="31"/>
        <v>0</v>
      </c>
      <c r="FX14" s="81">
        <f t="shared" si="31"/>
        <v>0</v>
      </c>
      <c r="FY14" s="81">
        <f t="shared" si="31"/>
        <v>0</v>
      </c>
      <c r="FZ14" s="81">
        <f t="shared" si="31"/>
        <v>0</v>
      </c>
      <c r="GA14" s="81">
        <f t="shared" si="31"/>
        <v>0</v>
      </c>
      <c r="GB14" s="81">
        <f t="shared" si="31"/>
        <v>0</v>
      </c>
      <c r="GC14" s="81">
        <f t="shared" si="31"/>
        <v>0</v>
      </c>
      <c r="GD14" s="81">
        <f t="shared" si="31"/>
        <v>0</v>
      </c>
      <c r="GE14" s="81">
        <f t="shared" si="31"/>
        <v>0</v>
      </c>
      <c r="GF14" s="81">
        <f t="shared" si="31"/>
        <v>0</v>
      </c>
      <c r="GG14" s="81">
        <f t="shared" si="31"/>
        <v>0</v>
      </c>
      <c r="GH14" s="81">
        <f t="shared" si="31"/>
        <v>0</v>
      </c>
      <c r="GI14" s="81">
        <f t="shared" si="31"/>
        <v>0</v>
      </c>
      <c r="GJ14" s="81">
        <f t="shared" si="31"/>
        <v>0</v>
      </c>
      <c r="GK14" s="81">
        <f t="shared" si="31"/>
        <v>0</v>
      </c>
      <c r="GL14" s="81">
        <f t="shared" si="31"/>
        <v>0</v>
      </c>
      <c r="GM14" s="81">
        <f t="shared" si="31"/>
        <v>0</v>
      </c>
      <c r="GN14" s="81">
        <f t="shared" si="31"/>
        <v>0</v>
      </c>
      <c r="GO14" s="81">
        <f t="shared" si="31"/>
        <v>0</v>
      </c>
      <c r="GP14" s="81">
        <f t="shared" si="31"/>
        <v>0</v>
      </c>
      <c r="GQ14" s="81">
        <f t="shared" si="31"/>
        <v>0</v>
      </c>
      <c r="GR14" s="81">
        <f t="shared" si="31"/>
        <v>0</v>
      </c>
      <c r="GS14" s="81">
        <f t="shared" si="31"/>
        <v>0</v>
      </c>
      <c r="GT14" s="81">
        <f t="shared" si="31"/>
        <v>0</v>
      </c>
      <c r="GU14" s="81">
        <f t="shared" si="31"/>
        <v>0</v>
      </c>
      <c r="GV14" s="81">
        <f t="shared" si="31"/>
        <v>0</v>
      </c>
      <c r="GW14" s="81">
        <f t="shared" si="31"/>
        <v>0</v>
      </c>
      <c r="GX14" s="81">
        <f t="shared" si="31"/>
        <v>0</v>
      </c>
      <c r="GY14" s="81">
        <f t="shared" si="31"/>
        <v>0</v>
      </c>
      <c r="GZ14" s="81">
        <f t="shared" si="31"/>
        <v>0</v>
      </c>
      <c r="HA14" s="81">
        <f t="shared" si="31"/>
        <v>0</v>
      </c>
      <c r="HB14" s="81">
        <f t="shared" si="31"/>
        <v>0</v>
      </c>
      <c r="HC14" s="81">
        <f t="shared" si="31"/>
        <v>0</v>
      </c>
      <c r="HD14" s="81">
        <f t="shared" si="31"/>
        <v>0</v>
      </c>
      <c r="HE14" s="81">
        <f t="shared" si="31"/>
        <v>0</v>
      </c>
      <c r="HF14" s="81">
        <f t="shared" si="31"/>
        <v>0</v>
      </c>
      <c r="HG14" s="81">
        <f t="shared" ref="HG14:IB14" si="32">HF17</f>
        <v>0</v>
      </c>
      <c r="HH14" s="81">
        <f t="shared" si="32"/>
        <v>0</v>
      </c>
      <c r="HI14" s="81">
        <f t="shared" si="32"/>
        <v>0</v>
      </c>
      <c r="HJ14" s="81">
        <f t="shared" si="32"/>
        <v>0</v>
      </c>
      <c r="HK14" s="81">
        <f t="shared" si="32"/>
        <v>0</v>
      </c>
      <c r="HL14" s="81">
        <f t="shared" si="32"/>
        <v>0</v>
      </c>
      <c r="HM14" s="81">
        <f t="shared" si="32"/>
        <v>0</v>
      </c>
      <c r="HN14" s="81">
        <f t="shared" si="32"/>
        <v>0</v>
      </c>
      <c r="HO14" s="81">
        <f t="shared" si="32"/>
        <v>0</v>
      </c>
      <c r="HP14" s="81">
        <f t="shared" si="32"/>
        <v>0</v>
      </c>
      <c r="HQ14" s="81">
        <f t="shared" si="32"/>
        <v>0</v>
      </c>
      <c r="HR14" s="81">
        <f t="shared" si="32"/>
        <v>0</v>
      </c>
      <c r="HS14" s="81">
        <f t="shared" si="32"/>
        <v>0</v>
      </c>
      <c r="HT14" s="81">
        <f t="shared" si="32"/>
        <v>0</v>
      </c>
      <c r="HU14" s="81">
        <f t="shared" si="32"/>
        <v>0</v>
      </c>
      <c r="HV14" s="81">
        <f t="shared" si="32"/>
        <v>0</v>
      </c>
      <c r="HW14" s="81">
        <f t="shared" si="32"/>
        <v>0</v>
      </c>
      <c r="HX14" s="81">
        <f t="shared" si="32"/>
        <v>0</v>
      </c>
      <c r="HY14" s="81">
        <f t="shared" si="32"/>
        <v>0</v>
      </c>
      <c r="HZ14" s="81">
        <f t="shared" si="32"/>
        <v>0</v>
      </c>
      <c r="IA14" s="81">
        <f t="shared" si="32"/>
        <v>0</v>
      </c>
      <c r="IB14" s="81">
        <f t="shared" si="32"/>
        <v>0</v>
      </c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</row>
    <row r="15" spans="1:251" ht="18" customHeight="1" x14ac:dyDescent="0.3">
      <c r="C15" s="93" t="s">
        <v>30</v>
      </c>
      <c r="D15" s="83" t="s">
        <v>141</v>
      </c>
      <c r="E15" s="329">
        <v>0.16500000000000001</v>
      </c>
      <c r="F15" s="94"/>
      <c r="G15" s="95"/>
      <c r="H15" s="96"/>
      <c r="I15" s="42"/>
      <c r="J15" s="97"/>
      <c r="K15" s="98"/>
      <c r="L15" s="99"/>
      <c r="M15" s="25"/>
      <c r="N15" s="25"/>
      <c r="O15" s="25"/>
      <c r="P15" s="99"/>
      <c r="Q15" s="98"/>
      <c r="R15" s="96"/>
      <c r="S15" s="27"/>
      <c r="T15" s="80" t="s">
        <v>31</v>
      </c>
      <c r="U15" s="100">
        <v>0</v>
      </c>
      <c r="V15" s="101">
        <f>IF(V45=1,V46,IF($E$26&lt;&gt;0,V46,IF(V6&lt;=$E$9,U$12/ROUND(DATEDIF(V6,$E$9,"d")/(365/12),0),0)))</f>
        <v>6114995.7205555551</v>
      </c>
      <c r="W15" s="101">
        <f>IF(W45=1,W46,IF($E$26&lt;&gt;0,W46,IF(W6&lt;=$E$9,V$12/ROUND(DATEDIF(W6,$E$9,"d")/(365/12),0),0)))</f>
        <v>6114995.7205555551</v>
      </c>
      <c r="X15" s="101">
        <f t="shared" ref="X15:CH15" si="33">IF(X45=1,X46,IF($E$26&lt;&gt;0,X46,IF(X6&lt;=$E$9,W$12/ROUND(DATEDIF(X6,$E$9,"d")/(365/12),0),0)))</f>
        <v>6114995.7205555551</v>
      </c>
      <c r="Y15" s="101">
        <f t="shared" si="33"/>
        <v>6114995.7205555551</v>
      </c>
      <c r="Z15" s="101">
        <f t="shared" si="33"/>
        <v>6114995.7205555541</v>
      </c>
      <c r="AA15" s="101">
        <f t="shared" si="33"/>
        <v>6114995.7205555541</v>
      </c>
      <c r="AB15" s="101">
        <f t="shared" si="33"/>
        <v>6114995.7205555541</v>
      </c>
      <c r="AC15" s="101">
        <f t="shared" si="33"/>
        <v>6114995.7205555551</v>
      </c>
      <c r="AD15" s="101">
        <f t="shared" si="33"/>
        <v>6114995.720555556</v>
      </c>
      <c r="AE15" s="101">
        <f t="shared" si="33"/>
        <v>6114995.7205555569</v>
      </c>
      <c r="AF15" s="101">
        <f t="shared" si="33"/>
        <v>6114995.7205555588</v>
      </c>
      <c r="AG15" s="101">
        <f t="shared" si="33"/>
        <v>6114995.7205555607</v>
      </c>
      <c r="AH15" s="101">
        <f t="shared" si="33"/>
        <v>6114995.7205555588</v>
      </c>
      <c r="AI15" s="101">
        <f t="shared" si="33"/>
        <v>6114995.720555556</v>
      </c>
      <c r="AJ15" s="101">
        <f t="shared" si="33"/>
        <v>6114995.7205555588</v>
      </c>
      <c r="AK15" s="101">
        <f t="shared" si="33"/>
        <v>6114995.7205555635</v>
      </c>
      <c r="AL15" s="101">
        <f t="shared" si="33"/>
        <v>6114995.7205555588</v>
      </c>
      <c r="AM15" s="101">
        <f t="shared" si="33"/>
        <v>6114995.7205555439</v>
      </c>
      <c r="AN15" s="101">
        <f t="shared" si="33"/>
        <v>0</v>
      </c>
      <c r="AO15" s="101">
        <f t="shared" si="33"/>
        <v>0</v>
      </c>
      <c r="AP15" s="101">
        <f t="shared" si="33"/>
        <v>0</v>
      </c>
      <c r="AQ15" s="101">
        <f t="shared" si="33"/>
        <v>0</v>
      </c>
      <c r="AR15" s="101">
        <f t="shared" si="33"/>
        <v>0</v>
      </c>
      <c r="AS15" s="101">
        <f t="shared" si="33"/>
        <v>0</v>
      </c>
      <c r="AT15" s="101">
        <f t="shared" si="33"/>
        <v>0</v>
      </c>
      <c r="AU15" s="101">
        <f t="shared" si="33"/>
        <v>0</v>
      </c>
      <c r="AV15" s="101">
        <f t="shared" si="33"/>
        <v>0</v>
      </c>
      <c r="AW15" s="101">
        <f t="shared" si="33"/>
        <v>0</v>
      </c>
      <c r="AX15" s="101">
        <f t="shared" si="33"/>
        <v>0</v>
      </c>
      <c r="AY15" s="101">
        <f t="shared" si="33"/>
        <v>0</v>
      </c>
      <c r="AZ15" s="101">
        <f t="shared" si="33"/>
        <v>0</v>
      </c>
      <c r="BA15" s="101">
        <f t="shared" si="33"/>
        <v>0</v>
      </c>
      <c r="BB15" s="101">
        <f t="shared" si="33"/>
        <v>0</v>
      </c>
      <c r="BC15" s="101">
        <f t="shared" si="33"/>
        <v>0</v>
      </c>
      <c r="BD15" s="101">
        <f t="shared" si="33"/>
        <v>0</v>
      </c>
      <c r="BE15" s="101">
        <f t="shared" si="33"/>
        <v>0</v>
      </c>
      <c r="BF15" s="101">
        <f t="shared" si="33"/>
        <v>0</v>
      </c>
      <c r="BG15" s="101">
        <f t="shared" si="33"/>
        <v>0</v>
      </c>
      <c r="BH15" s="101">
        <f t="shared" si="33"/>
        <v>0</v>
      </c>
      <c r="BI15" s="101">
        <f t="shared" si="33"/>
        <v>0</v>
      </c>
      <c r="BJ15" s="101">
        <f t="shared" si="33"/>
        <v>0</v>
      </c>
      <c r="BK15" s="101">
        <f t="shared" si="33"/>
        <v>0</v>
      </c>
      <c r="BL15" s="101">
        <f t="shared" si="33"/>
        <v>0</v>
      </c>
      <c r="BM15" s="101">
        <f t="shared" si="33"/>
        <v>0</v>
      </c>
      <c r="BN15" s="101">
        <f t="shared" si="33"/>
        <v>0</v>
      </c>
      <c r="BO15" s="101">
        <f t="shared" si="33"/>
        <v>0</v>
      </c>
      <c r="BP15" s="101">
        <f t="shared" si="33"/>
        <v>0</v>
      </c>
      <c r="BQ15" s="101">
        <f t="shared" si="33"/>
        <v>0</v>
      </c>
      <c r="BR15" s="101">
        <f t="shared" si="33"/>
        <v>0</v>
      </c>
      <c r="BS15" s="101">
        <f t="shared" si="33"/>
        <v>0</v>
      </c>
      <c r="BT15" s="101">
        <f t="shared" si="33"/>
        <v>0</v>
      </c>
      <c r="BU15" s="101">
        <f t="shared" si="33"/>
        <v>0</v>
      </c>
      <c r="BV15" s="101">
        <f t="shared" si="33"/>
        <v>0</v>
      </c>
      <c r="BW15" s="101">
        <f t="shared" si="33"/>
        <v>0</v>
      </c>
      <c r="BX15" s="101">
        <f t="shared" si="33"/>
        <v>0</v>
      </c>
      <c r="BY15" s="101">
        <f t="shared" si="33"/>
        <v>0</v>
      </c>
      <c r="BZ15" s="101">
        <f t="shared" si="33"/>
        <v>0</v>
      </c>
      <c r="CA15" s="101">
        <f t="shared" si="33"/>
        <v>0</v>
      </c>
      <c r="CB15" s="101">
        <f t="shared" si="33"/>
        <v>0</v>
      </c>
      <c r="CC15" s="101">
        <f t="shared" si="33"/>
        <v>0</v>
      </c>
      <c r="CD15" s="101">
        <f t="shared" si="33"/>
        <v>0</v>
      </c>
      <c r="CE15" s="101">
        <f t="shared" si="33"/>
        <v>0</v>
      </c>
      <c r="CF15" s="101">
        <f t="shared" si="33"/>
        <v>0</v>
      </c>
      <c r="CG15" s="101">
        <f t="shared" si="33"/>
        <v>0</v>
      </c>
      <c r="CH15" s="101">
        <f t="shared" si="33"/>
        <v>0</v>
      </c>
      <c r="CI15" s="101">
        <f t="shared" ref="CI15:ET15" si="34">IF(CI45=1,CI46,IF($E$26&lt;&gt;0,CI46,IF(CI6&lt;=$E$9,CH$12/ROUND(DATEDIF(CI6,$E$9,"d")/(365/12),0),0)))</f>
        <v>0</v>
      </c>
      <c r="CJ15" s="101">
        <f t="shared" si="34"/>
        <v>0</v>
      </c>
      <c r="CK15" s="101">
        <f t="shared" si="34"/>
        <v>0</v>
      </c>
      <c r="CL15" s="101">
        <f t="shared" si="34"/>
        <v>0</v>
      </c>
      <c r="CM15" s="101">
        <f t="shared" si="34"/>
        <v>0</v>
      </c>
      <c r="CN15" s="101">
        <f t="shared" si="34"/>
        <v>0</v>
      </c>
      <c r="CO15" s="101">
        <f t="shared" si="34"/>
        <v>0</v>
      </c>
      <c r="CP15" s="101">
        <f t="shared" si="34"/>
        <v>0</v>
      </c>
      <c r="CQ15" s="101">
        <f t="shared" si="34"/>
        <v>0</v>
      </c>
      <c r="CR15" s="101">
        <f t="shared" si="34"/>
        <v>0</v>
      </c>
      <c r="CS15" s="101">
        <f t="shared" si="34"/>
        <v>0</v>
      </c>
      <c r="CT15" s="101">
        <f t="shared" si="34"/>
        <v>0</v>
      </c>
      <c r="CU15" s="101">
        <f t="shared" si="34"/>
        <v>0</v>
      </c>
      <c r="CV15" s="101">
        <f t="shared" si="34"/>
        <v>0</v>
      </c>
      <c r="CW15" s="101">
        <f t="shared" si="34"/>
        <v>0</v>
      </c>
      <c r="CX15" s="101">
        <f t="shared" si="34"/>
        <v>0</v>
      </c>
      <c r="CY15" s="101">
        <f t="shared" si="34"/>
        <v>0</v>
      </c>
      <c r="CZ15" s="101">
        <f t="shared" si="34"/>
        <v>0</v>
      </c>
      <c r="DA15" s="101">
        <f t="shared" si="34"/>
        <v>0</v>
      </c>
      <c r="DB15" s="101">
        <f t="shared" si="34"/>
        <v>0</v>
      </c>
      <c r="DC15" s="101">
        <f t="shared" si="34"/>
        <v>0</v>
      </c>
      <c r="DD15" s="101">
        <f t="shared" si="34"/>
        <v>0</v>
      </c>
      <c r="DE15" s="101">
        <f t="shared" si="34"/>
        <v>0</v>
      </c>
      <c r="DF15" s="101">
        <f t="shared" si="34"/>
        <v>0</v>
      </c>
      <c r="DG15" s="101">
        <f t="shared" si="34"/>
        <v>0</v>
      </c>
      <c r="DH15" s="101">
        <f t="shared" si="34"/>
        <v>0</v>
      </c>
      <c r="DI15" s="101">
        <f t="shared" si="34"/>
        <v>0</v>
      </c>
      <c r="DJ15" s="101">
        <f t="shared" si="34"/>
        <v>0</v>
      </c>
      <c r="DK15" s="101">
        <f t="shared" si="34"/>
        <v>0</v>
      </c>
      <c r="DL15" s="101">
        <f t="shared" si="34"/>
        <v>0</v>
      </c>
      <c r="DM15" s="101">
        <f t="shared" si="34"/>
        <v>0</v>
      </c>
      <c r="DN15" s="101">
        <f t="shared" si="34"/>
        <v>0</v>
      </c>
      <c r="DO15" s="101">
        <f t="shared" si="34"/>
        <v>0</v>
      </c>
      <c r="DP15" s="101">
        <f t="shared" si="34"/>
        <v>0</v>
      </c>
      <c r="DQ15" s="101">
        <f t="shared" si="34"/>
        <v>0</v>
      </c>
      <c r="DR15" s="101">
        <f t="shared" si="34"/>
        <v>0</v>
      </c>
      <c r="DS15" s="101">
        <f t="shared" si="34"/>
        <v>0</v>
      </c>
      <c r="DT15" s="101">
        <f t="shared" si="34"/>
        <v>0</v>
      </c>
      <c r="DU15" s="101">
        <f t="shared" si="34"/>
        <v>0</v>
      </c>
      <c r="DV15" s="101">
        <f t="shared" si="34"/>
        <v>0</v>
      </c>
      <c r="DW15" s="101">
        <f t="shared" si="34"/>
        <v>0</v>
      </c>
      <c r="DX15" s="101">
        <f t="shared" si="34"/>
        <v>0</v>
      </c>
      <c r="DY15" s="101">
        <f t="shared" si="34"/>
        <v>0</v>
      </c>
      <c r="DZ15" s="101">
        <f t="shared" si="34"/>
        <v>0</v>
      </c>
      <c r="EA15" s="101">
        <f t="shared" si="34"/>
        <v>0</v>
      </c>
      <c r="EB15" s="101">
        <f t="shared" si="34"/>
        <v>0</v>
      </c>
      <c r="EC15" s="101">
        <f t="shared" si="34"/>
        <v>0</v>
      </c>
      <c r="ED15" s="101">
        <f t="shared" si="34"/>
        <v>0</v>
      </c>
      <c r="EE15" s="101">
        <f t="shared" si="34"/>
        <v>0</v>
      </c>
      <c r="EF15" s="101">
        <f t="shared" si="34"/>
        <v>0</v>
      </c>
      <c r="EG15" s="101">
        <f t="shared" si="34"/>
        <v>0</v>
      </c>
      <c r="EH15" s="101">
        <f t="shared" si="34"/>
        <v>0</v>
      </c>
      <c r="EI15" s="101">
        <f t="shared" si="34"/>
        <v>0</v>
      </c>
      <c r="EJ15" s="101">
        <f t="shared" si="34"/>
        <v>0</v>
      </c>
      <c r="EK15" s="101">
        <f t="shared" si="34"/>
        <v>0</v>
      </c>
      <c r="EL15" s="101">
        <f t="shared" si="34"/>
        <v>0</v>
      </c>
      <c r="EM15" s="101">
        <f t="shared" si="34"/>
        <v>0</v>
      </c>
      <c r="EN15" s="101">
        <f t="shared" si="34"/>
        <v>0</v>
      </c>
      <c r="EO15" s="101">
        <f t="shared" si="34"/>
        <v>0</v>
      </c>
      <c r="EP15" s="101">
        <f t="shared" si="34"/>
        <v>0</v>
      </c>
      <c r="EQ15" s="101">
        <f t="shared" si="34"/>
        <v>0</v>
      </c>
      <c r="ER15" s="101">
        <f t="shared" si="34"/>
        <v>0</v>
      </c>
      <c r="ES15" s="101">
        <f t="shared" si="34"/>
        <v>0</v>
      </c>
      <c r="ET15" s="101">
        <f t="shared" si="34"/>
        <v>0</v>
      </c>
      <c r="EU15" s="101">
        <f t="shared" ref="EU15:HF15" si="35">IF(EU45=1,EU46,IF($E$26&lt;&gt;0,EU46,IF(EU6&lt;=$E$9,ET$12/ROUND(DATEDIF(EU6,$E$9,"d")/(365/12),0),0)))</f>
        <v>0</v>
      </c>
      <c r="EV15" s="101">
        <f t="shared" si="35"/>
        <v>0</v>
      </c>
      <c r="EW15" s="101">
        <f t="shared" si="35"/>
        <v>0</v>
      </c>
      <c r="EX15" s="101">
        <f t="shared" si="35"/>
        <v>0</v>
      </c>
      <c r="EY15" s="101">
        <f t="shared" si="35"/>
        <v>0</v>
      </c>
      <c r="EZ15" s="101">
        <f t="shared" si="35"/>
        <v>0</v>
      </c>
      <c r="FA15" s="101">
        <f t="shared" si="35"/>
        <v>0</v>
      </c>
      <c r="FB15" s="101">
        <f t="shared" si="35"/>
        <v>0</v>
      </c>
      <c r="FC15" s="101">
        <f t="shared" si="35"/>
        <v>0</v>
      </c>
      <c r="FD15" s="101">
        <f t="shared" si="35"/>
        <v>0</v>
      </c>
      <c r="FE15" s="101">
        <f t="shared" si="35"/>
        <v>0</v>
      </c>
      <c r="FF15" s="101">
        <f t="shared" si="35"/>
        <v>0</v>
      </c>
      <c r="FG15" s="101">
        <f t="shared" si="35"/>
        <v>0</v>
      </c>
      <c r="FH15" s="101">
        <f t="shared" si="35"/>
        <v>0</v>
      </c>
      <c r="FI15" s="101">
        <f t="shared" si="35"/>
        <v>0</v>
      </c>
      <c r="FJ15" s="101">
        <f t="shared" si="35"/>
        <v>0</v>
      </c>
      <c r="FK15" s="101">
        <f t="shared" si="35"/>
        <v>0</v>
      </c>
      <c r="FL15" s="101">
        <f t="shared" si="35"/>
        <v>0</v>
      </c>
      <c r="FM15" s="101">
        <f t="shared" si="35"/>
        <v>0</v>
      </c>
      <c r="FN15" s="101">
        <f t="shared" si="35"/>
        <v>0</v>
      </c>
      <c r="FO15" s="101">
        <f t="shared" si="35"/>
        <v>0</v>
      </c>
      <c r="FP15" s="101">
        <f t="shared" si="35"/>
        <v>0</v>
      </c>
      <c r="FQ15" s="101">
        <f t="shared" si="35"/>
        <v>0</v>
      </c>
      <c r="FR15" s="101">
        <f t="shared" si="35"/>
        <v>0</v>
      </c>
      <c r="FS15" s="101">
        <f t="shared" si="35"/>
        <v>0</v>
      </c>
      <c r="FT15" s="101">
        <f t="shared" si="35"/>
        <v>0</v>
      </c>
      <c r="FU15" s="101">
        <f t="shared" si="35"/>
        <v>0</v>
      </c>
      <c r="FV15" s="101">
        <f t="shared" si="35"/>
        <v>0</v>
      </c>
      <c r="FW15" s="101">
        <f t="shared" si="35"/>
        <v>0</v>
      </c>
      <c r="FX15" s="101">
        <f t="shared" si="35"/>
        <v>0</v>
      </c>
      <c r="FY15" s="101">
        <f t="shared" si="35"/>
        <v>0</v>
      </c>
      <c r="FZ15" s="101">
        <f t="shared" si="35"/>
        <v>0</v>
      </c>
      <c r="GA15" s="101">
        <f t="shared" si="35"/>
        <v>0</v>
      </c>
      <c r="GB15" s="101">
        <f t="shared" si="35"/>
        <v>0</v>
      </c>
      <c r="GC15" s="101">
        <f t="shared" si="35"/>
        <v>0</v>
      </c>
      <c r="GD15" s="101">
        <f t="shared" si="35"/>
        <v>0</v>
      </c>
      <c r="GE15" s="101">
        <f t="shared" si="35"/>
        <v>0</v>
      </c>
      <c r="GF15" s="101">
        <f t="shared" si="35"/>
        <v>0</v>
      </c>
      <c r="GG15" s="101">
        <f t="shared" si="35"/>
        <v>0</v>
      </c>
      <c r="GH15" s="101">
        <f t="shared" si="35"/>
        <v>0</v>
      </c>
      <c r="GI15" s="101">
        <f t="shared" si="35"/>
        <v>0</v>
      </c>
      <c r="GJ15" s="101">
        <f t="shared" si="35"/>
        <v>0</v>
      </c>
      <c r="GK15" s="101">
        <f t="shared" si="35"/>
        <v>0</v>
      </c>
      <c r="GL15" s="101">
        <f t="shared" si="35"/>
        <v>0</v>
      </c>
      <c r="GM15" s="101">
        <f t="shared" si="35"/>
        <v>0</v>
      </c>
      <c r="GN15" s="101">
        <f t="shared" si="35"/>
        <v>0</v>
      </c>
      <c r="GO15" s="101">
        <f t="shared" si="35"/>
        <v>0</v>
      </c>
      <c r="GP15" s="101">
        <f t="shared" si="35"/>
        <v>0</v>
      </c>
      <c r="GQ15" s="101">
        <f t="shared" si="35"/>
        <v>0</v>
      </c>
      <c r="GR15" s="101">
        <f t="shared" si="35"/>
        <v>0</v>
      </c>
      <c r="GS15" s="101">
        <f t="shared" si="35"/>
        <v>0</v>
      </c>
      <c r="GT15" s="101">
        <f t="shared" si="35"/>
        <v>0</v>
      </c>
      <c r="GU15" s="101">
        <f t="shared" si="35"/>
        <v>0</v>
      </c>
      <c r="GV15" s="101">
        <f t="shared" si="35"/>
        <v>0</v>
      </c>
      <c r="GW15" s="101">
        <f t="shared" si="35"/>
        <v>0</v>
      </c>
      <c r="GX15" s="101">
        <f t="shared" si="35"/>
        <v>0</v>
      </c>
      <c r="GY15" s="101">
        <f t="shared" si="35"/>
        <v>0</v>
      </c>
      <c r="GZ15" s="101">
        <f t="shared" si="35"/>
        <v>0</v>
      </c>
      <c r="HA15" s="101">
        <f t="shared" si="35"/>
        <v>0</v>
      </c>
      <c r="HB15" s="101">
        <f t="shared" si="35"/>
        <v>0</v>
      </c>
      <c r="HC15" s="101">
        <f t="shared" si="35"/>
        <v>0</v>
      </c>
      <c r="HD15" s="101">
        <f t="shared" si="35"/>
        <v>0</v>
      </c>
      <c r="HE15" s="101">
        <f t="shared" si="35"/>
        <v>0</v>
      </c>
      <c r="HF15" s="101">
        <f t="shared" si="35"/>
        <v>0</v>
      </c>
      <c r="HG15" s="101">
        <f t="shared" ref="HG15:IB15" si="36">IF(HG45=1,HG46,IF($E$26&lt;&gt;0,HG46,IF(HG6&lt;=$E$9,HF$12/ROUND(DATEDIF(HG6,$E$9,"d")/(365/12),0),0)))</f>
        <v>0</v>
      </c>
      <c r="HH15" s="101">
        <f t="shared" si="36"/>
        <v>0</v>
      </c>
      <c r="HI15" s="101">
        <f t="shared" si="36"/>
        <v>0</v>
      </c>
      <c r="HJ15" s="101">
        <f t="shared" si="36"/>
        <v>0</v>
      </c>
      <c r="HK15" s="101">
        <f t="shared" si="36"/>
        <v>0</v>
      </c>
      <c r="HL15" s="101">
        <f t="shared" si="36"/>
        <v>0</v>
      </c>
      <c r="HM15" s="101">
        <f t="shared" si="36"/>
        <v>0</v>
      </c>
      <c r="HN15" s="101">
        <f t="shared" si="36"/>
        <v>0</v>
      </c>
      <c r="HO15" s="101">
        <f t="shared" si="36"/>
        <v>0</v>
      </c>
      <c r="HP15" s="101">
        <f t="shared" si="36"/>
        <v>0</v>
      </c>
      <c r="HQ15" s="101">
        <f t="shared" si="36"/>
        <v>0</v>
      </c>
      <c r="HR15" s="101">
        <f t="shared" si="36"/>
        <v>0</v>
      </c>
      <c r="HS15" s="101">
        <f t="shared" si="36"/>
        <v>0</v>
      </c>
      <c r="HT15" s="101">
        <f t="shared" si="36"/>
        <v>0</v>
      </c>
      <c r="HU15" s="101">
        <f t="shared" si="36"/>
        <v>0</v>
      </c>
      <c r="HV15" s="101">
        <f t="shared" si="36"/>
        <v>0</v>
      </c>
      <c r="HW15" s="101">
        <f t="shared" si="36"/>
        <v>0</v>
      </c>
      <c r="HX15" s="101">
        <f t="shared" si="36"/>
        <v>0</v>
      </c>
      <c r="HY15" s="101">
        <f t="shared" si="36"/>
        <v>0</v>
      </c>
      <c r="HZ15" s="101">
        <f t="shared" si="36"/>
        <v>0</v>
      </c>
      <c r="IA15" s="101">
        <f t="shared" si="36"/>
        <v>0</v>
      </c>
      <c r="IB15" s="101">
        <f t="shared" si="36"/>
        <v>0</v>
      </c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</row>
    <row r="16" spans="1:251" ht="18" customHeight="1" thickBot="1" x14ac:dyDescent="0.35">
      <c r="C16" s="102"/>
      <c r="D16" s="103" t="s">
        <v>32</v>
      </c>
      <c r="E16" s="330">
        <v>1.3299863552695745E-2</v>
      </c>
      <c r="F16" s="104"/>
      <c r="G16" s="95"/>
      <c r="H16" s="96"/>
      <c r="J16" s="105" t="str">
        <f>+IF(MONTH(F1)&lt;&gt;12,"Stub","")</f>
        <v/>
      </c>
      <c r="R16" s="106"/>
      <c r="S16" s="27"/>
      <c r="T16" s="107" t="s">
        <v>33</v>
      </c>
      <c r="U16" s="108">
        <v>0</v>
      </c>
      <c r="V16" s="101">
        <f>IF(AND(V6&lt;=$E$11,V7&gt;=$E$11),-SUM(V14:V15),IF(AND(V7&gt;$E$10,V7&lt;=$E$11),-(V14+V15)/(1+MONTH($E$11)-MONTH(V7)+(YEAR($E$11)-YEAR(V7))*12),0))</f>
        <v>0</v>
      </c>
      <c r="W16" s="101">
        <f t="shared" ref="W16:CH16" si="37">IF(AND(W6&lt;=$E$11,W7&gt;=$E$11),-SUM(W14:W15),IF(AND(W7&gt;$E$10,W7&lt;=$E$11),-(W14+W15)/(1+MONTH($E$11)-MONTH(W7)+(YEAR($E$11)-YEAR(W7))*12),0))</f>
        <v>0</v>
      </c>
      <c r="X16" s="101">
        <f t="shared" si="37"/>
        <v>0</v>
      </c>
      <c r="Y16" s="101">
        <f t="shared" si="37"/>
        <v>0</v>
      </c>
      <c r="Z16" s="101">
        <f t="shared" si="37"/>
        <v>0</v>
      </c>
      <c r="AA16" s="101">
        <f t="shared" si="37"/>
        <v>0</v>
      </c>
      <c r="AB16" s="101">
        <f t="shared" si="37"/>
        <v>0</v>
      </c>
      <c r="AC16" s="101">
        <f t="shared" si="37"/>
        <v>0</v>
      </c>
      <c r="AD16" s="101">
        <f t="shared" si="37"/>
        <v>0</v>
      </c>
      <c r="AE16" s="101">
        <f t="shared" si="37"/>
        <v>0</v>
      </c>
      <c r="AF16" s="101">
        <f t="shared" si="37"/>
        <v>0</v>
      </c>
      <c r="AG16" s="101">
        <f t="shared" si="37"/>
        <v>0</v>
      </c>
      <c r="AH16" s="101">
        <f t="shared" si="37"/>
        <v>0</v>
      </c>
      <c r="AI16" s="101">
        <f t="shared" si="37"/>
        <v>0</v>
      </c>
      <c r="AJ16" s="101">
        <f t="shared" si="37"/>
        <v>0</v>
      </c>
      <c r="AK16" s="101">
        <f t="shared" si="37"/>
        <v>0</v>
      </c>
      <c r="AL16" s="101">
        <f t="shared" si="37"/>
        <v>0</v>
      </c>
      <c r="AM16" s="101">
        <f t="shared" si="37"/>
        <v>0</v>
      </c>
      <c r="AN16" s="101">
        <f t="shared" si="37"/>
        <v>0</v>
      </c>
      <c r="AO16" s="101">
        <f t="shared" si="37"/>
        <v>0</v>
      </c>
      <c r="AP16" s="101">
        <f t="shared" si="37"/>
        <v>0</v>
      </c>
      <c r="AQ16" s="101">
        <f t="shared" si="37"/>
        <v>0</v>
      </c>
      <c r="AR16" s="101">
        <f t="shared" si="37"/>
        <v>0</v>
      </c>
      <c r="AS16" s="101">
        <f t="shared" si="37"/>
        <v>0</v>
      </c>
      <c r="AT16" s="101">
        <f t="shared" si="37"/>
        <v>0</v>
      </c>
      <c r="AU16" s="101">
        <f t="shared" si="37"/>
        <v>0</v>
      </c>
      <c r="AV16" s="101">
        <f t="shared" si="37"/>
        <v>0</v>
      </c>
      <c r="AW16" s="101">
        <f t="shared" si="37"/>
        <v>0</v>
      </c>
      <c r="AX16" s="101">
        <f t="shared" si="37"/>
        <v>0</v>
      </c>
      <c r="AY16" s="101">
        <f t="shared" si="37"/>
        <v>0</v>
      </c>
      <c r="AZ16" s="101">
        <f t="shared" si="37"/>
        <v>-8854166.666666666</v>
      </c>
      <c r="BA16" s="101">
        <f t="shared" si="37"/>
        <v>-8854166.6666666679</v>
      </c>
      <c r="BB16" s="101">
        <f t="shared" si="37"/>
        <v>-8854166.6666666679</v>
      </c>
      <c r="BC16" s="101">
        <f t="shared" si="37"/>
        <v>-8854166.6666666679</v>
      </c>
      <c r="BD16" s="101">
        <f t="shared" si="37"/>
        <v>-8854166.6666666679</v>
      </c>
      <c r="BE16" s="101">
        <f t="shared" si="37"/>
        <v>-8854166.6666666698</v>
      </c>
      <c r="BF16" s="101">
        <f t="shared" si="37"/>
        <v>-8854166.6666666698</v>
      </c>
      <c r="BG16" s="101">
        <f t="shared" si="37"/>
        <v>-8854166.6666666716</v>
      </c>
      <c r="BH16" s="101">
        <f t="shared" si="37"/>
        <v>-8854166.6666666716</v>
      </c>
      <c r="BI16" s="101">
        <f t="shared" si="37"/>
        <v>-8854166.6666666716</v>
      </c>
      <c r="BJ16" s="101">
        <f t="shared" si="37"/>
        <v>-8854166.6666666716</v>
      </c>
      <c r="BK16" s="101">
        <f t="shared" si="37"/>
        <v>-8854166.6666666716</v>
      </c>
      <c r="BL16" s="101">
        <f t="shared" si="37"/>
        <v>-8854166.6666666716</v>
      </c>
      <c r="BM16" s="101">
        <f t="shared" si="37"/>
        <v>-8854166.6666666716</v>
      </c>
      <c r="BN16" s="101">
        <f t="shared" si="37"/>
        <v>-8854166.6666666716</v>
      </c>
      <c r="BO16" s="101">
        <f t="shared" si="37"/>
        <v>-8854166.6666666716</v>
      </c>
      <c r="BP16" s="101">
        <f>IF(AND(BP6&lt;=$E$11,BP7&gt;=$E$11),-SUM(BP14:BP15),IF(AND(BP7&gt;$E$10,BP7&lt;=$E$11),-(BP14+BP15)/(1+MONTH($E$11)-MONTH(BP7)+(YEAR($E$11)-YEAR(BP7))*12),0))</f>
        <v>-8854166.6666666716</v>
      </c>
      <c r="BQ16" s="101">
        <f t="shared" si="37"/>
        <v>-8854166.6666666716</v>
      </c>
      <c r="BR16" s="101">
        <f t="shared" si="37"/>
        <v>-8854166.6666666716</v>
      </c>
      <c r="BS16" s="101">
        <f t="shared" si="37"/>
        <v>-8854166.6666666716</v>
      </c>
      <c r="BT16" s="101">
        <f t="shared" si="37"/>
        <v>-8854166.6666666716</v>
      </c>
      <c r="BU16" s="101">
        <f t="shared" si="37"/>
        <v>-8854166.6666666716</v>
      </c>
      <c r="BV16" s="101">
        <f t="shared" si="37"/>
        <v>-8854166.6666666716</v>
      </c>
      <c r="BW16" s="101">
        <f>IF(AND(BW6&lt;=$E$11,BW7&gt;=$E$11),-SUM(BW14:BW15),IF(AND(BW7&gt;$E$10,BW7&lt;=$E$11),-(BW14+BW15)/(1+MONTH($E$11)-MONTH(BW7)+(YEAR($E$11)-YEAR(BW7))*12),0))</f>
        <v>-8854166.6666666716</v>
      </c>
      <c r="BX16" s="101">
        <f t="shared" si="37"/>
        <v>0</v>
      </c>
      <c r="BY16" s="101">
        <f t="shared" si="37"/>
        <v>0</v>
      </c>
      <c r="BZ16" s="101">
        <f t="shared" si="37"/>
        <v>0</v>
      </c>
      <c r="CA16" s="101">
        <f t="shared" si="37"/>
        <v>0</v>
      </c>
      <c r="CB16" s="101">
        <f t="shared" si="37"/>
        <v>0</v>
      </c>
      <c r="CC16" s="101">
        <f t="shared" si="37"/>
        <v>0</v>
      </c>
      <c r="CD16" s="101">
        <f t="shared" si="37"/>
        <v>0</v>
      </c>
      <c r="CE16" s="101">
        <f t="shared" si="37"/>
        <v>0</v>
      </c>
      <c r="CF16" s="101">
        <f t="shared" si="37"/>
        <v>0</v>
      </c>
      <c r="CG16" s="101">
        <f t="shared" si="37"/>
        <v>0</v>
      </c>
      <c r="CH16" s="101">
        <f t="shared" si="37"/>
        <v>0</v>
      </c>
      <c r="CI16" s="101">
        <f t="shared" ref="CI16:ET16" si="38">IF(AND(CI6&lt;=$E$11,CI7&gt;=$E$11),-SUM(CI14:CI15),IF(AND(CI7&gt;$E$10,CI7&lt;=$E$11),-(CI14+CI15)/(1+MONTH($E$11)-MONTH(CI7)+(YEAR($E$11)-YEAR(CI7))*12),0))</f>
        <v>0</v>
      </c>
      <c r="CJ16" s="101">
        <f t="shared" si="38"/>
        <v>0</v>
      </c>
      <c r="CK16" s="101">
        <f t="shared" si="38"/>
        <v>0</v>
      </c>
      <c r="CL16" s="101">
        <f t="shared" si="38"/>
        <v>0</v>
      </c>
      <c r="CM16" s="101">
        <f t="shared" si="38"/>
        <v>0</v>
      </c>
      <c r="CN16" s="101">
        <f t="shared" si="38"/>
        <v>0</v>
      </c>
      <c r="CO16" s="101">
        <f t="shared" si="38"/>
        <v>0</v>
      </c>
      <c r="CP16" s="101">
        <f t="shared" si="38"/>
        <v>0</v>
      </c>
      <c r="CQ16" s="101">
        <f t="shared" si="38"/>
        <v>0</v>
      </c>
      <c r="CR16" s="101">
        <f t="shared" si="38"/>
        <v>0</v>
      </c>
      <c r="CS16" s="101">
        <f t="shared" si="38"/>
        <v>0</v>
      </c>
      <c r="CT16" s="101">
        <f t="shared" si="38"/>
        <v>0</v>
      </c>
      <c r="CU16" s="101">
        <f t="shared" si="38"/>
        <v>0</v>
      </c>
      <c r="CV16" s="101">
        <f t="shared" si="38"/>
        <v>0</v>
      </c>
      <c r="CW16" s="101">
        <f t="shared" si="38"/>
        <v>0</v>
      </c>
      <c r="CX16" s="101">
        <f t="shared" si="38"/>
        <v>0</v>
      </c>
      <c r="CY16" s="101">
        <f t="shared" si="38"/>
        <v>0</v>
      </c>
      <c r="CZ16" s="101">
        <f t="shared" si="38"/>
        <v>0</v>
      </c>
      <c r="DA16" s="101">
        <f t="shared" si="38"/>
        <v>0</v>
      </c>
      <c r="DB16" s="101">
        <f t="shared" si="38"/>
        <v>0</v>
      </c>
      <c r="DC16" s="101">
        <f t="shared" si="38"/>
        <v>0</v>
      </c>
      <c r="DD16" s="101">
        <f t="shared" si="38"/>
        <v>0</v>
      </c>
      <c r="DE16" s="101">
        <f t="shared" si="38"/>
        <v>0</v>
      </c>
      <c r="DF16" s="101">
        <f t="shared" si="38"/>
        <v>0</v>
      </c>
      <c r="DG16" s="101">
        <f t="shared" si="38"/>
        <v>0</v>
      </c>
      <c r="DH16" s="101">
        <f t="shared" si="38"/>
        <v>0</v>
      </c>
      <c r="DI16" s="101">
        <f t="shared" si="38"/>
        <v>0</v>
      </c>
      <c r="DJ16" s="101">
        <f t="shared" si="38"/>
        <v>0</v>
      </c>
      <c r="DK16" s="101">
        <f t="shared" si="38"/>
        <v>0</v>
      </c>
      <c r="DL16" s="101">
        <f t="shared" si="38"/>
        <v>0</v>
      </c>
      <c r="DM16" s="101">
        <f t="shared" si="38"/>
        <v>0</v>
      </c>
      <c r="DN16" s="101">
        <f t="shared" si="38"/>
        <v>0</v>
      </c>
      <c r="DO16" s="101">
        <f t="shared" si="38"/>
        <v>0</v>
      </c>
      <c r="DP16" s="101">
        <f t="shared" si="38"/>
        <v>0</v>
      </c>
      <c r="DQ16" s="101">
        <f t="shared" si="38"/>
        <v>0</v>
      </c>
      <c r="DR16" s="101">
        <f t="shared" si="38"/>
        <v>0</v>
      </c>
      <c r="DS16" s="101">
        <f t="shared" si="38"/>
        <v>0</v>
      </c>
      <c r="DT16" s="101">
        <f t="shared" si="38"/>
        <v>0</v>
      </c>
      <c r="DU16" s="101">
        <f t="shared" si="38"/>
        <v>0</v>
      </c>
      <c r="DV16" s="101">
        <f t="shared" si="38"/>
        <v>0</v>
      </c>
      <c r="DW16" s="101">
        <f t="shared" si="38"/>
        <v>0</v>
      </c>
      <c r="DX16" s="101">
        <f t="shared" si="38"/>
        <v>0</v>
      </c>
      <c r="DY16" s="101">
        <f t="shared" si="38"/>
        <v>0</v>
      </c>
      <c r="DZ16" s="101">
        <f t="shared" si="38"/>
        <v>0</v>
      </c>
      <c r="EA16" s="101">
        <f t="shared" si="38"/>
        <v>0</v>
      </c>
      <c r="EB16" s="101">
        <f t="shared" si="38"/>
        <v>0</v>
      </c>
      <c r="EC16" s="101">
        <f t="shared" si="38"/>
        <v>0</v>
      </c>
      <c r="ED16" s="101">
        <f t="shared" si="38"/>
        <v>0</v>
      </c>
      <c r="EE16" s="101">
        <f t="shared" si="38"/>
        <v>0</v>
      </c>
      <c r="EF16" s="101">
        <f t="shared" si="38"/>
        <v>0</v>
      </c>
      <c r="EG16" s="101">
        <f t="shared" si="38"/>
        <v>0</v>
      </c>
      <c r="EH16" s="101">
        <f t="shared" si="38"/>
        <v>0</v>
      </c>
      <c r="EI16" s="101">
        <f t="shared" si="38"/>
        <v>0</v>
      </c>
      <c r="EJ16" s="101">
        <f t="shared" si="38"/>
        <v>0</v>
      </c>
      <c r="EK16" s="101">
        <f t="shared" si="38"/>
        <v>0</v>
      </c>
      <c r="EL16" s="101">
        <f t="shared" si="38"/>
        <v>0</v>
      </c>
      <c r="EM16" s="101">
        <f t="shared" si="38"/>
        <v>0</v>
      </c>
      <c r="EN16" s="101">
        <f t="shared" si="38"/>
        <v>0</v>
      </c>
      <c r="EO16" s="101">
        <f t="shared" si="38"/>
        <v>0</v>
      </c>
      <c r="EP16" s="101">
        <f t="shared" si="38"/>
        <v>0</v>
      </c>
      <c r="EQ16" s="101">
        <f t="shared" si="38"/>
        <v>0</v>
      </c>
      <c r="ER16" s="101">
        <f t="shared" si="38"/>
        <v>0</v>
      </c>
      <c r="ES16" s="101">
        <f t="shared" si="38"/>
        <v>0</v>
      </c>
      <c r="ET16" s="101">
        <f t="shared" si="38"/>
        <v>0</v>
      </c>
      <c r="EU16" s="101">
        <f t="shared" ref="EU16:HF16" si="39">IF(AND(EU6&lt;=$E$11,EU7&gt;=$E$11),-SUM(EU14:EU15),IF(AND(EU7&gt;$E$10,EU7&lt;=$E$11),-(EU14+EU15)/(1+MONTH($E$11)-MONTH(EU7)+(YEAR($E$11)-YEAR(EU7))*12),0))</f>
        <v>0</v>
      </c>
      <c r="EV16" s="101">
        <f t="shared" si="39"/>
        <v>0</v>
      </c>
      <c r="EW16" s="101">
        <f t="shared" si="39"/>
        <v>0</v>
      </c>
      <c r="EX16" s="101">
        <f t="shared" si="39"/>
        <v>0</v>
      </c>
      <c r="EY16" s="101">
        <f t="shared" si="39"/>
        <v>0</v>
      </c>
      <c r="EZ16" s="101">
        <f t="shared" si="39"/>
        <v>0</v>
      </c>
      <c r="FA16" s="101">
        <f t="shared" si="39"/>
        <v>0</v>
      </c>
      <c r="FB16" s="101">
        <f t="shared" si="39"/>
        <v>0</v>
      </c>
      <c r="FC16" s="101">
        <f t="shared" si="39"/>
        <v>0</v>
      </c>
      <c r="FD16" s="101">
        <f t="shared" si="39"/>
        <v>0</v>
      </c>
      <c r="FE16" s="101">
        <f t="shared" si="39"/>
        <v>0</v>
      </c>
      <c r="FF16" s="101">
        <f t="shared" si="39"/>
        <v>0</v>
      </c>
      <c r="FG16" s="101">
        <f t="shared" si="39"/>
        <v>0</v>
      </c>
      <c r="FH16" s="101">
        <f t="shared" si="39"/>
        <v>0</v>
      </c>
      <c r="FI16" s="101">
        <f t="shared" si="39"/>
        <v>0</v>
      </c>
      <c r="FJ16" s="101">
        <f t="shared" si="39"/>
        <v>0</v>
      </c>
      <c r="FK16" s="101">
        <f t="shared" si="39"/>
        <v>0</v>
      </c>
      <c r="FL16" s="101">
        <f t="shared" si="39"/>
        <v>0</v>
      </c>
      <c r="FM16" s="101">
        <f t="shared" si="39"/>
        <v>0</v>
      </c>
      <c r="FN16" s="101">
        <f t="shared" si="39"/>
        <v>0</v>
      </c>
      <c r="FO16" s="101">
        <f t="shared" si="39"/>
        <v>0</v>
      </c>
      <c r="FP16" s="101">
        <f t="shared" si="39"/>
        <v>0</v>
      </c>
      <c r="FQ16" s="101">
        <f t="shared" si="39"/>
        <v>0</v>
      </c>
      <c r="FR16" s="101">
        <f t="shared" si="39"/>
        <v>0</v>
      </c>
      <c r="FS16" s="101">
        <f t="shared" si="39"/>
        <v>0</v>
      </c>
      <c r="FT16" s="101">
        <f t="shared" si="39"/>
        <v>0</v>
      </c>
      <c r="FU16" s="101">
        <f t="shared" si="39"/>
        <v>0</v>
      </c>
      <c r="FV16" s="101">
        <f t="shared" si="39"/>
        <v>0</v>
      </c>
      <c r="FW16" s="101">
        <f t="shared" si="39"/>
        <v>0</v>
      </c>
      <c r="FX16" s="101">
        <f t="shared" si="39"/>
        <v>0</v>
      </c>
      <c r="FY16" s="101">
        <f t="shared" si="39"/>
        <v>0</v>
      </c>
      <c r="FZ16" s="101">
        <f t="shared" si="39"/>
        <v>0</v>
      </c>
      <c r="GA16" s="101">
        <f t="shared" si="39"/>
        <v>0</v>
      </c>
      <c r="GB16" s="101">
        <f t="shared" si="39"/>
        <v>0</v>
      </c>
      <c r="GC16" s="101">
        <f t="shared" si="39"/>
        <v>0</v>
      </c>
      <c r="GD16" s="101">
        <f t="shared" si="39"/>
        <v>0</v>
      </c>
      <c r="GE16" s="101">
        <f t="shared" si="39"/>
        <v>0</v>
      </c>
      <c r="GF16" s="101">
        <f t="shared" si="39"/>
        <v>0</v>
      </c>
      <c r="GG16" s="101">
        <f t="shared" si="39"/>
        <v>0</v>
      </c>
      <c r="GH16" s="101">
        <f t="shared" si="39"/>
        <v>0</v>
      </c>
      <c r="GI16" s="101">
        <f t="shared" si="39"/>
        <v>0</v>
      </c>
      <c r="GJ16" s="101">
        <f t="shared" si="39"/>
        <v>0</v>
      </c>
      <c r="GK16" s="101">
        <f t="shared" si="39"/>
        <v>0</v>
      </c>
      <c r="GL16" s="101">
        <f t="shared" si="39"/>
        <v>0</v>
      </c>
      <c r="GM16" s="101">
        <f t="shared" si="39"/>
        <v>0</v>
      </c>
      <c r="GN16" s="101">
        <f t="shared" si="39"/>
        <v>0</v>
      </c>
      <c r="GO16" s="101">
        <f t="shared" si="39"/>
        <v>0</v>
      </c>
      <c r="GP16" s="101">
        <f t="shared" si="39"/>
        <v>0</v>
      </c>
      <c r="GQ16" s="101">
        <f t="shared" si="39"/>
        <v>0</v>
      </c>
      <c r="GR16" s="101">
        <f t="shared" si="39"/>
        <v>0</v>
      </c>
      <c r="GS16" s="101">
        <f t="shared" si="39"/>
        <v>0</v>
      </c>
      <c r="GT16" s="101">
        <f t="shared" si="39"/>
        <v>0</v>
      </c>
      <c r="GU16" s="101">
        <f t="shared" si="39"/>
        <v>0</v>
      </c>
      <c r="GV16" s="101">
        <f t="shared" si="39"/>
        <v>0</v>
      </c>
      <c r="GW16" s="101">
        <f t="shared" si="39"/>
        <v>0</v>
      </c>
      <c r="GX16" s="101">
        <f t="shared" si="39"/>
        <v>0</v>
      </c>
      <c r="GY16" s="101">
        <f t="shared" si="39"/>
        <v>0</v>
      </c>
      <c r="GZ16" s="101">
        <f t="shared" si="39"/>
        <v>0</v>
      </c>
      <c r="HA16" s="101">
        <f t="shared" si="39"/>
        <v>0</v>
      </c>
      <c r="HB16" s="101">
        <f t="shared" si="39"/>
        <v>0</v>
      </c>
      <c r="HC16" s="101">
        <f t="shared" si="39"/>
        <v>0</v>
      </c>
      <c r="HD16" s="101">
        <f t="shared" si="39"/>
        <v>0</v>
      </c>
      <c r="HE16" s="101">
        <f t="shared" si="39"/>
        <v>0</v>
      </c>
      <c r="HF16" s="101">
        <f t="shared" si="39"/>
        <v>0</v>
      </c>
      <c r="HG16" s="101">
        <f t="shared" ref="HG16:IB16" si="40">IF(AND(HG6&lt;=$E$11,HG7&gt;=$E$11),-SUM(HG14:HG15),IF(AND(HG7&gt;$E$10,HG7&lt;=$E$11),-(HG14+HG15)/(1+MONTH($E$11)-MONTH(HG7)+(YEAR($E$11)-YEAR(HG7))*12),0))</f>
        <v>0</v>
      </c>
      <c r="HH16" s="101">
        <f t="shared" si="40"/>
        <v>0</v>
      </c>
      <c r="HI16" s="101">
        <f t="shared" si="40"/>
        <v>0</v>
      </c>
      <c r="HJ16" s="101">
        <f t="shared" si="40"/>
        <v>0</v>
      </c>
      <c r="HK16" s="101">
        <f t="shared" si="40"/>
        <v>0</v>
      </c>
      <c r="HL16" s="101">
        <f t="shared" si="40"/>
        <v>0</v>
      </c>
      <c r="HM16" s="101">
        <f t="shared" si="40"/>
        <v>0</v>
      </c>
      <c r="HN16" s="101">
        <f t="shared" si="40"/>
        <v>0</v>
      </c>
      <c r="HO16" s="101">
        <f t="shared" si="40"/>
        <v>0</v>
      </c>
      <c r="HP16" s="101">
        <f t="shared" si="40"/>
        <v>0</v>
      </c>
      <c r="HQ16" s="101">
        <f t="shared" si="40"/>
        <v>0</v>
      </c>
      <c r="HR16" s="101">
        <f t="shared" si="40"/>
        <v>0</v>
      </c>
      <c r="HS16" s="101">
        <f t="shared" si="40"/>
        <v>0</v>
      </c>
      <c r="HT16" s="101">
        <f t="shared" si="40"/>
        <v>0</v>
      </c>
      <c r="HU16" s="101">
        <f t="shared" si="40"/>
        <v>0</v>
      </c>
      <c r="HV16" s="101">
        <f t="shared" si="40"/>
        <v>0</v>
      </c>
      <c r="HW16" s="101">
        <f t="shared" si="40"/>
        <v>0</v>
      </c>
      <c r="HX16" s="101">
        <f t="shared" si="40"/>
        <v>0</v>
      </c>
      <c r="HY16" s="101">
        <f t="shared" si="40"/>
        <v>0</v>
      </c>
      <c r="HZ16" s="101">
        <f t="shared" si="40"/>
        <v>0</v>
      </c>
      <c r="IA16" s="101">
        <f t="shared" si="40"/>
        <v>0</v>
      </c>
      <c r="IB16" s="101">
        <f t="shared" si="40"/>
        <v>0</v>
      </c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</row>
    <row r="17" spans="1:251" ht="18" customHeight="1" thickTop="1" thickBot="1" x14ac:dyDescent="0.35">
      <c r="C17" s="102"/>
      <c r="D17" s="83" t="s">
        <v>131</v>
      </c>
      <c r="E17" s="138">
        <v>0.08</v>
      </c>
      <c r="F17" s="109"/>
      <c r="G17" s="95"/>
      <c r="H17" s="96"/>
      <c r="I17" s="110" t="s">
        <v>34</v>
      </c>
      <c r="J17" s="111">
        <f>IF(MONTH(U7)=12,DATE(YEAR(U7)+2,1,0),DATE(YEAR(U7)+1,1,0))</f>
        <v>46387</v>
      </c>
      <c r="K17" s="111">
        <f t="shared" ref="K17:P17" si="41">DATE(YEAR(J17)+2,1,0)</f>
        <v>46752</v>
      </c>
      <c r="L17" s="111">
        <f t="shared" si="41"/>
        <v>47118</v>
      </c>
      <c r="M17" s="111">
        <f t="shared" si="41"/>
        <v>47483</v>
      </c>
      <c r="N17" s="111">
        <f t="shared" si="41"/>
        <v>47848</v>
      </c>
      <c r="O17" s="111">
        <f t="shared" si="41"/>
        <v>48213</v>
      </c>
      <c r="P17" s="111">
        <f t="shared" si="41"/>
        <v>48579</v>
      </c>
      <c r="Q17" s="112" t="s">
        <v>35</v>
      </c>
      <c r="R17" s="113"/>
      <c r="S17" s="114" t="s">
        <v>36</v>
      </c>
      <c r="T17" s="115" t="s">
        <v>37</v>
      </c>
      <c r="U17" s="116">
        <f>IF(U7&gt;=$E$9,MIN($E$14,$E$12),E13*U44)</f>
        <v>102430077.03</v>
      </c>
      <c r="V17" s="117">
        <f>SUM(V14:V16)</f>
        <v>108545072.75055556</v>
      </c>
      <c r="W17" s="117">
        <f>SUM(W14:W16)</f>
        <v>114660068.47111112</v>
      </c>
      <c r="X17" s="117">
        <f t="shared" ref="X17:CH17" si="42">SUM(X14:X16)</f>
        <v>120775064.19166668</v>
      </c>
      <c r="Y17" s="117">
        <f t="shared" si="42"/>
        <v>126890059.91222224</v>
      </c>
      <c r="Z17" s="117">
        <f t="shared" si="42"/>
        <v>133005055.6327778</v>
      </c>
      <c r="AA17" s="117">
        <f t="shared" si="42"/>
        <v>139120051.35333335</v>
      </c>
      <c r="AB17" s="117">
        <f t="shared" si="42"/>
        <v>145235047.0738889</v>
      </c>
      <c r="AC17" s="117">
        <f t="shared" si="42"/>
        <v>151350042.79444444</v>
      </c>
      <c r="AD17" s="117">
        <f t="shared" si="42"/>
        <v>157465038.51499999</v>
      </c>
      <c r="AE17" s="117">
        <f t="shared" si="42"/>
        <v>163580034.23555553</v>
      </c>
      <c r="AF17" s="117">
        <f t="shared" si="42"/>
        <v>169695029.95611107</v>
      </c>
      <c r="AG17" s="117">
        <f t="shared" si="42"/>
        <v>175810025.67666665</v>
      </c>
      <c r="AH17" s="117">
        <f t="shared" si="42"/>
        <v>181925021.39722222</v>
      </c>
      <c r="AI17" s="117">
        <f t="shared" si="42"/>
        <v>188040017.11777776</v>
      </c>
      <c r="AJ17" s="117">
        <f t="shared" si="42"/>
        <v>194155012.83833331</v>
      </c>
      <c r="AK17" s="117">
        <f t="shared" si="42"/>
        <v>200270008.55888888</v>
      </c>
      <c r="AL17" s="117">
        <f t="shared" si="42"/>
        <v>206385004.27944446</v>
      </c>
      <c r="AM17" s="117">
        <f t="shared" si="42"/>
        <v>212500000</v>
      </c>
      <c r="AN17" s="117">
        <f t="shared" si="42"/>
        <v>212500000</v>
      </c>
      <c r="AO17" s="117">
        <f t="shared" si="42"/>
        <v>212500000</v>
      </c>
      <c r="AP17" s="117">
        <f t="shared" si="42"/>
        <v>212500000</v>
      </c>
      <c r="AQ17" s="117">
        <f>SUM(AQ14:AQ16)</f>
        <v>212500000</v>
      </c>
      <c r="AR17" s="117">
        <f t="shared" si="42"/>
        <v>212500000</v>
      </c>
      <c r="AS17" s="117">
        <f t="shared" si="42"/>
        <v>212500000</v>
      </c>
      <c r="AT17" s="117">
        <f t="shared" si="42"/>
        <v>212500000</v>
      </c>
      <c r="AU17" s="117">
        <f t="shared" si="42"/>
        <v>212500000</v>
      </c>
      <c r="AV17" s="117">
        <f t="shared" si="42"/>
        <v>212500000</v>
      </c>
      <c r="AW17" s="117">
        <f t="shared" si="42"/>
        <v>212500000</v>
      </c>
      <c r="AX17" s="117">
        <f t="shared" si="42"/>
        <v>212500000</v>
      </c>
      <c r="AY17" s="117">
        <f t="shared" si="42"/>
        <v>212500000</v>
      </c>
      <c r="AZ17" s="117">
        <f t="shared" si="42"/>
        <v>203645833.33333334</v>
      </c>
      <c r="BA17" s="117">
        <f t="shared" si="42"/>
        <v>194791666.66666669</v>
      </c>
      <c r="BB17" s="117">
        <f t="shared" si="42"/>
        <v>185937500.00000003</v>
      </c>
      <c r="BC17" s="117">
        <f t="shared" si="42"/>
        <v>177083333.33333337</v>
      </c>
      <c r="BD17" s="117">
        <f t="shared" si="42"/>
        <v>168229166.66666672</v>
      </c>
      <c r="BE17" s="117">
        <f t="shared" si="42"/>
        <v>159375000.00000006</v>
      </c>
      <c r="BF17" s="117">
        <f t="shared" si="42"/>
        <v>150520833.3333334</v>
      </c>
      <c r="BG17" s="117">
        <f t="shared" si="42"/>
        <v>141666666.66666675</v>
      </c>
      <c r="BH17" s="117">
        <f t="shared" si="42"/>
        <v>132812500.00000007</v>
      </c>
      <c r="BI17" s="117">
        <f t="shared" si="42"/>
        <v>123958333.3333334</v>
      </c>
      <c r="BJ17" s="117">
        <f t="shared" si="42"/>
        <v>115104166.66666673</v>
      </c>
      <c r="BK17" s="117">
        <f t="shared" si="42"/>
        <v>106250000.00000006</v>
      </c>
      <c r="BL17" s="117">
        <f t="shared" si="42"/>
        <v>97395833.333333388</v>
      </c>
      <c r="BM17" s="117">
        <f t="shared" si="42"/>
        <v>88541666.666666716</v>
      </c>
      <c r="BN17" s="117">
        <f t="shared" si="42"/>
        <v>79687500.000000045</v>
      </c>
      <c r="BO17" s="117">
        <f t="shared" si="42"/>
        <v>70833333.333333373</v>
      </c>
      <c r="BP17" s="117">
        <f t="shared" si="42"/>
        <v>61979166.666666701</v>
      </c>
      <c r="BQ17" s="117">
        <f t="shared" si="42"/>
        <v>53125000.00000003</v>
      </c>
      <c r="BR17" s="117">
        <f t="shared" si="42"/>
        <v>44270833.333333358</v>
      </c>
      <c r="BS17" s="117">
        <f>SUM(BS14:BS16)</f>
        <v>35416666.666666687</v>
      </c>
      <c r="BT17" s="117">
        <f t="shared" si="42"/>
        <v>26562500.000000015</v>
      </c>
      <c r="BU17" s="117">
        <f t="shared" si="42"/>
        <v>17708333.333333343</v>
      </c>
      <c r="BV17" s="117">
        <f t="shared" si="42"/>
        <v>8854166.6666666716</v>
      </c>
      <c r="BW17" s="117">
        <f t="shared" si="42"/>
        <v>0</v>
      </c>
      <c r="BX17" s="117">
        <f t="shared" si="42"/>
        <v>0</v>
      </c>
      <c r="BY17" s="117">
        <f t="shared" si="42"/>
        <v>0</v>
      </c>
      <c r="BZ17" s="117">
        <f t="shared" si="42"/>
        <v>0</v>
      </c>
      <c r="CA17" s="117">
        <f t="shared" si="42"/>
        <v>0</v>
      </c>
      <c r="CB17" s="117">
        <f t="shared" si="42"/>
        <v>0</v>
      </c>
      <c r="CC17" s="117">
        <f t="shared" si="42"/>
        <v>0</v>
      </c>
      <c r="CD17" s="117">
        <f t="shared" si="42"/>
        <v>0</v>
      </c>
      <c r="CE17" s="117">
        <f t="shared" si="42"/>
        <v>0</v>
      </c>
      <c r="CF17" s="117">
        <f t="shared" si="42"/>
        <v>0</v>
      </c>
      <c r="CG17" s="117">
        <f t="shared" si="42"/>
        <v>0</v>
      </c>
      <c r="CH17" s="117">
        <f t="shared" si="42"/>
        <v>0</v>
      </c>
      <c r="CI17" s="117">
        <f t="shared" ref="CI17:ET17" si="43">SUM(CI14:CI16)</f>
        <v>0</v>
      </c>
      <c r="CJ17" s="117">
        <f t="shared" si="43"/>
        <v>0</v>
      </c>
      <c r="CK17" s="117">
        <f t="shared" si="43"/>
        <v>0</v>
      </c>
      <c r="CL17" s="117">
        <f t="shared" si="43"/>
        <v>0</v>
      </c>
      <c r="CM17" s="117">
        <f t="shared" si="43"/>
        <v>0</v>
      </c>
      <c r="CN17" s="117">
        <f t="shared" si="43"/>
        <v>0</v>
      </c>
      <c r="CO17" s="117">
        <f t="shared" si="43"/>
        <v>0</v>
      </c>
      <c r="CP17" s="117">
        <f t="shared" si="43"/>
        <v>0</v>
      </c>
      <c r="CQ17" s="117">
        <f t="shared" si="43"/>
        <v>0</v>
      </c>
      <c r="CR17" s="117">
        <f t="shared" si="43"/>
        <v>0</v>
      </c>
      <c r="CS17" s="117">
        <f t="shared" si="43"/>
        <v>0</v>
      </c>
      <c r="CT17" s="117">
        <f t="shared" si="43"/>
        <v>0</v>
      </c>
      <c r="CU17" s="117">
        <f t="shared" si="43"/>
        <v>0</v>
      </c>
      <c r="CV17" s="117">
        <f t="shared" si="43"/>
        <v>0</v>
      </c>
      <c r="CW17" s="117">
        <f t="shared" si="43"/>
        <v>0</v>
      </c>
      <c r="CX17" s="117">
        <f t="shared" si="43"/>
        <v>0</v>
      </c>
      <c r="CY17" s="117">
        <f t="shared" si="43"/>
        <v>0</v>
      </c>
      <c r="CZ17" s="117">
        <f t="shared" si="43"/>
        <v>0</v>
      </c>
      <c r="DA17" s="117">
        <f t="shared" si="43"/>
        <v>0</v>
      </c>
      <c r="DB17" s="117">
        <f t="shared" si="43"/>
        <v>0</v>
      </c>
      <c r="DC17" s="117">
        <f t="shared" si="43"/>
        <v>0</v>
      </c>
      <c r="DD17" s="117">
        <f t="shared" si="43"/>
        <v>0</v>
      </c>
      <c r="DE17" s="117">
        <f t="shared" si="43"/>
        <v>0</v>
      </c>
      <c r="DF17" s="117">
        <f t="shared" si="43"/>
        <v>0</v>
      </c>
      <c r="DG17" s="117">
        <f t="shared" si="43"/>
        <v>0</v>
      </c>
      <c r="DH17" s="117">
        <f t="shared" si="43"/>
        <v>0</v>
      </c>
      <c r="DI17" s="117">
        <f t="shared" si="43"/>
        <v>0</v>
      </c>
      <c r="DJ17" s="117">
        <f t="shared" si="43"/>
        <v>0</v>
      </c>
      <c r="DK17" s="117">
        <f t="shared" si="43"/>
        <v>0</v>
      </c>
      <c r="DL17" s="117">
        <f t="shared" si="43"/>
        <v>0</v>
      </c>
      <c r="DM17" s="117">
        <f t="shared" si="43"/>
        <v>0</v>
      </c>
      <c r="DN17" s="117">
        <f t="shared" si="43"/>
        <v>0</v>
      </c>
      <c r="DO17" s="117">
        <f t="shared" si="43"/>
        <v>0</v>
      </c>
      <c r="DP17" s="117">
        <f t="shared" si="43"/>
        <v>0</v>
      </c>
      <c r="DQ17" s="117">
        <f t="shared" si="43"/>
        <v>0</v>
      </c>
      <c r="DR17" s="117">
        <f t="shared" si="43"/>
        <v>0</v>
      </c>
      <c r="DS17" s="117">
        <f t="shared" si="43"/>
        <v>0</v>
      </c>
      <c r="DT17" s="117">
        <f t="shared" si="43"/>
        <v>0</v>
      </c>
      <c r="DU17" s="117">
        <f t="shared" si="43"/>
        <v>0</v>
      </c>
      <c r="DV17" s="117">
        <f t="shared" si="43"/>
        <v>0</v>
      </c>
      <c r="DW17" s="117">
        <f t="shared" si="43"/>
        <v>0</v>
      </c>
      <c r="DX17" s="117">
        <f t="shared" si="43"/>
        <v>0</v>
      </c>
      <c r="DY17" s="117">
        <f t="shared" si="43"/>
        <v>0</v>
      </c>
      <c r="DZ17" s="117">
        <f t="shared" si="43"/>
        <v>0</v>
      </c>
      <c r="EA17" s="117">
        <f t="shared" si="43"/>
        <v>0</v>
      </c>
      <c r="EB17" s="117">
        <f t="shared" si="43"/>
        <v>0</v>
      </c>
      <c r="EC17" s="117">
        <f t="shared" si="43"/>
        <v>0</v>
      </c>
      <c r="ED17" s="117">
        <f t="shared" si="43"/>
        <v>0</v>
      </c>
      <c r="EE17" s="117">
        <f t="shared" si="43"/>
        <v>0</v>
      </c>
      <c r="EF17" s="117">
        <f t="shared" si="43"/>
        <v>0</v>
      </c>
      <c r="EG17" s="117">
        <f t="shared" si="43"/>
        <v>0</v>
      </c>
      <c r="EH17" s="117">
        <f t="shared" si="43"/>
        <v>0</v>
      </c>
      <c r="EI17" s="117">
        <f t="shared" si="43"/>
        <v>0</v>
      </c>
      <c r="EJ17" s="117">
        <f t="shared" si="43"/>
        <v>0</v>
      </c>
      <c r="EK17" s="117">
        <f t="shared" si="43"/>
        <v>0</v>
      </c>
      <c r="EL17" s="117">
        <f t="shared" si="43"/>
        <v>0</v>
      </c>
      <c r="EM17" s="117">
        <f t="shared" si="43"/>
        <v>0</v>
      </c>
      <c r="EN17" s="117">
        <f t="shared" si="43"/>
        <v>0</v>
      </c>
      <c r="EO17" s="117">
        <f t="shared" si="43"/>
        <v>0</v>
      </c>
      <c r="EP17" s="117">
        <f t="shared" si="43"/>
        <v>0</v>
      </c>
      <c r="EQ17" s="117">
        <f t="shared" si="43"/>
        <v>0</v>
      </c>
      <c r="ER17" s="117">
        <f t="shared" si="43"/>
        <v>0</v>
      </c>
      <c r="ES17" s="117">
        <f t="shared" si="43"/>
        <v>0</v>
      </c>
      <c r="ET17" s="117">
        <f t="shared" si="43"/>
        <v>0</v>
      </c>
      <c r="EU17" s="117">
        <f t="shared" ref="EU17:HF17" si="44">SUM(EU14:EU16)</f>
        <v>0</v>
      </c>
      <c r="EV17" s="117">
        <f t="shared" si="44"/>
        <v>0</v>
      </c>
      <c r="EW17" s="117">
        <f t="shared" si="44"/>
        <v>0</v>
      </c>
      <c r="EX17" s="117">
        <f t="shared" si="44"/>
        <v>0</v>
      </c>
      <c r="EY17" s="117">
        <f t="shared" si="44"/>
        <v>0</v>
      </c>
      <c r="EZ17" s="117">
        <f t="shared" si="44"/>
        <v>0</v>
      </c>
      <c r="FA17" s="117">
        <f t="shared" si="44"/>
        <v>0</v>
      </c>
      <c r="FB17" s="117">
        <f t="shared" si="44"/>
        <v>0</v>
      </c>
      <c r="FC17" s="117">
        <f t="shared" si="44"/>
        <v>0</v>
      </c>
      <c r="FD17" s="117">
        <f t="shared" si="44"/>
        <v>0</v>
      </c>
      <c r="FE17" s="117">
        <f t="shared" si="44"/>
        <v>0</v>
      </c>
      <c r="FF17" s="117">
        <f t="shared" si="44"/>
        <v>0</v>
      </c>
      <c r="FG17" s="117">
        <f t="shared" si="44"/>
        <v>0</v>
      </c>
      <c r="FH17" s="117">
        <f t="shared" si="44"/>
        <v>0</v>
      </c>
      <c r="FI17" s="117">
        <f t="shared" si="44"/>
        <v>0</v>
      </c>
      <c r="FJ17" s="117">
        <f t="shared" si="44"/>
        <v>0</v>
      </c>
      <c r="FK17" s="117">
        <f t="shared" si="44"/>
        <v>0</v>
      </c>
      <c r="FL17" s="117">
        <f t="shared" si="44"/>
        <v>0</v>
      </c>
      <c r="FM17" s="117">
        <f t="shared" si="44"/>
        <v>0</v>
      </c>
      <c r="FN17" s="117">
        <f t="shared" si="44"/>
        <v>0</v>
      </c>
      <c r="FO17" s="117">
        <f t="shared" si="44"/>
        <v>0</v>
      </c>
      <c r="FP17" s="117">
        <f t="shared" si="44"/>
        <v>0</v>
      </c>
      <c r="FQ17" s="117">
        <f t="shared" si="44"/>
        <v>0</v>
      </c>
      <c r="FR17" s="117">
        <f t="shared" si="44"/>
        <v>0</v>
      </c>
      <c r="FS17" s="117">
        <f t="shared" si="44"/>
        <v>0</v>
      </c>
      <c r="FT17" s="117">
        <f t="shared" si="44"/>
        <v>0</v>
      </c>
      <c r="FU17" s="117">
        <f t="shared" si="44"/>
        <v>0</v>
      </c>
      <c r="FV17" s="117">
        <f t="shared" si="44"/>
        <v>0</v>
      </c>
      <c r="FW17" s="117">
        <f t="shared" si="44"/>
        <v>0</v>
      </c>
      <c r="FX17" s="117">
        <f t="shared" si="44"/>
        <v>0</v>
      </c>
      <c r="FY17" s="117">
        <f t="shared" si="44"/>
        <v>0</v>
      </c>
      <c r="FZ17" s="117">
        <f t="shared" si="44"/>
        <v>0</v>
      </c>
      <c r="GA17" s="117">
        <f t="shared" si="44"/>
        <v>0</v>
      </c>
      <c r="GB17" s="117">
        <f t="shared" si="44"/>
        <v>0</v>
      </c>
      <c r="GC17" s="117">
        <f t="shared" si="44"/>
        <v>0</v>
      </c>
      <c r="GD17" s="117">
        <f t="shared" si="44"/>
        <v>0</v>
      </c>
      <c r="GE17" s="117">
        <f t="shared" si="44"/>
        <v>0</v>
      </c>
      <c r="GF17" s="117">
        <f t="shared" si="44"/>
        <v>0</v>
      </c>
      <c r="GG17" s="117">
        <f t="shared" si="44"/>
        <v>0</v>
      </c>
      <c r="GH17" s="117">
        <f t="shared" si="44"/>
        <v>0</v>
      </c>
      <c r="GI17" s="117">
        <f t="shared" si="44"/>
        <v>0</v>
      </c>
      <c r="GJ17" s="117">
        <f t="shared" si="44"/>
        <v>0</v>
      </c>
      <c r="GK17" s="117">
        <f t="shared" si="44"/>
        <v>0</v>
      </c>
      <c r="GL17" s="117">
        <f t="shared" si="44"/>
        <v>0</v>
      </c>
      <c r="GM17" s="117">
        <f t="shared" si="44"/>
        <v>0</v>
      </c>
      <c r="GN17" s="117">
        <f t="shared" si="44"/>
        <v>0</v>
      </c>
      <c r="GO17" s="117">
        <f t="shared" si="44"/>
        <v>0</v>
      </c>
      <c r="GP17" s="117">
        <f t="shared" si="44"/>
        <v>0</v>
      </c>
      <c r="GQ17" s="117">
        <f t="shared" si="44"/>
        <v>0</v>
      </c>
      <c r="GR17" s="117">
        <f t="shared" si="44"/>
        <v>0</v>
      </c>
      <c r="GS17" s="117">
        <f t="shared" si="44"/>
        <v>0</v>
      </c>
      <c r="GT17" s="117">
        <f t="shared" si="44"/>
        <v>0</v>
      </c>
      <c r="GU17" s="117">
        <f t="shared" si="44"/>
        <v>0</v>
      </c>
      <c r="GV17" s="117">
        <f t="shared" si="44"/>
        <v>0</v>
      </c>
      <c r="GW17" s="117">
        <f t="shared" si="44"/>
        <v>0</v>
      </c>
      <c r="GX17" s="117">
        <f t="shared" si="44"/>
        <v>0</v>
      </c>
      <c r="GY17" s="117">
        <f t="shared" si="44"/>
        <v>0</v>
      </c>
      <c r="GZ17" s="117">
        <f t="shared" si="44"/>
        <v>0</v>
      </c>
      <c r="HA17" s="117">
        <f t="shared" si="44"/>
        <v>0</v>
      </c>
      <c r="HB17" s="117">
        <f t="shared" si="44"/>
        <v>0</v>
      </c>
      <c r="HC17" s="117">
        <f t="shared" si="44"/>
        <v>0</v>
      </c>
      <c r="HD17" s="117">
        <f t="shared" si="44"/>
        <v>0</v>
      </c>
      <c r="HE17" s="117">
        <f t="shared" si="44"/>
        <v>0</v>
      </c>
      <c r="HF17" s="117">
        <f t="shared" si="44"/>
        <v>0</v>
      </c>
      <c r="HG17" s="117">
        <f t="shared" ref="HG17:IB17" si="45">SUM(HG14:HG16)</f>
        <v>0</v>
      </c>
      <c r="HH17" s="117">
        <f t="shared" si="45"/>
        <v>0</v>
      </c>
      <c r="HI17" s="117">
        <f t="shared" si="45"/>
        <v>0</v>
      </c>
      <c r="HJ17" s="117">
        <f t="shared" si="45"/>
        <v>0</v>
      </c>
      <c r="HK17" s="117">
        <f t="shared" si="45"/>
        <v>0</v>
      </c>
      <c r="HL17" s="117">
        <f t="shared" si="45"/>
        <v>0</v>
      </c>
      <c r="HM17" s="117">
        <f t="shared" si="45"/>
        <v>0</v>
      </c>
      <c r="HN17" s="117">
        <f t="shared" si="45"/>
        <v>0</v>
      </c>
      <c r="HO17" s="117">
        <f t="shared" si="45"/>
        <v>0</v>
      </c>
      <c r="HP17" s="117">
        <f t="shared" si="45"/>
        <v>0</v>
      </c>
      <c r="HQ17" s="117">
        <f t="shared" si="45"/>
        <v>0</v>
      </c>
      <c r="HR17" s="117">
        <f t="shared" si="45"/>
        <v>0</v>
      </c>
      <c r="HS17" s="117">
        <f t="shared" si="45"/>
        <v>0</v>
      </c>
      <c r="HT17" s="117">
        <f t="shared" si="45"/>
        <v>0</v>
      </c>
      <c r="HU17" s="117">
        <f t="shared" si="45"/>
        <v>0</v>
      </c>
      <c r="HV17" s="117">
        <f t="shared" si="45"/>
        <v>0</v>
      </c>
      <c r="HW17" s="117">
        <f t="shared" si="45"/>
        <v>0</v>
      </c>
      <c r="HX17" s="117">
        <f t="shared" si="45"/>
        <v>0</v>
      </c>
      <c r="HY17" s="117">
        <f t="shared" si="45"/>
        <v>0</v>
      </c>
      <c r="HZ17" s="117">
        <f t="shared" si="45"/>
        <v>0</v>
      </c>
      <c r="IA17" s="117">
        <f t="shared" si="45"/>
        <v>0</v>
      </c>
      <c r="IB17" s="117">
        <f t="shared" si="45"/>
        <v>0</v>
      </c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</row>
    <row r="18" spans="1:251" ht="18" customHeight="1" x14ac:dyDescent="0.3">
      <c r="C18" s="102"/>
      <c r="D18" s="103" t="s">
        <v>38</v>
      </c>
      <c r="E18" s="330">
        <v>6.5581969365593462E-3</v>
      </c>
      <c r="F18" s="109"/>
      <c r="G18" s="95"/>
      <c r="H18" s="96"/>
      <c r="I18" s="118" t="s">
        <v>21</v>
      </c>
      <c r="J18" s="99">
        <f>SUMIFS($U$10:$IB$10,$U$7:$IB$7,"="&amp;J$17)/Units</f>
        <v>250</v>
      </c>
      <c r="K18" s="99">
        <f>SUMIFS($U$10:$IB$10,$U$7:$IB$7,"="&amp;K$17)/Units</f>
        <v>250</v>
      </c>
      <c r="L18" s="99">
        <f t="shared" ref="L18:P18" si="46">SUMIFS($U$10:$IB$10,$U$7:$IB$7,"="&amp;L$17)/Units</f>
        <v>250</v>
      </c>
      <c r="M18" s="99">
        <f t="shared" si="46"/>
        <v>250</v>
      </c>
      <c r="N18" s="99">
        <f t="shared" si="46"/>
        <v>0</v>
      </c>
      <c r="O18" s="99">
        <f t="shared" si="46"/>
        <v>0</v>
      </c>
      <c r="P18" s="99">
        <f t="shared" si="46"/>
        <v>0</v>
      </c>
      <c r="Q18" s="119" t="s">
        <v>39</v>
      </c>
      <c r="R18" s="113"/>
      <c r="S18" s="27"/>
      <c r="T18" s="32"/>
      <c r="U18" s="120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81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</row>
    <row r="19" spans="1:251" ht="18" customHeight="1" x14ac:dyDescent="0.3">
      <c r="C19" s="102"/>
      <c r="D19" s="83" t="s">
        <v>132</v>
      </c>
      <c r="E19" s="329">
        <v>0.85</v>
      </c>
      <c r="F19" s="109"/>
      <c r="G19" s="121"/>
      <c r="H19" s="122"/>
      <c r="I19" s="118" t="s">
        <v>24</v>
      </c>
      <c r="J19" s="99">
        <f>SUMIFS($U$11:$IB$11,$U$7:$IB$7,"="&amp;J$17)/Units</f>
        <v>212.5</v>
      </c>
      <c r="K19" s="99">
        <f t="shared" ref="K19:P19" si="47">SUMIFS($U$11:$IB$11,$U$7:$IB$7,"="&amp;K$17)/Units</f>
        <v>212.5</v>
      </c>
      <c r="L19" s="99">
        <f t="shared" si="47"/>
        <v>212.5</v>
      </c>
      <c r="M19" s="99">
        <f t="shared" si="47"/>
        <v>212.5</v>
      </c>
      <c r="N19" s="99">
        <f t="shared" si="47"/>
        <v>0</v>
      </c>
      <c r="O19" s="99">
        <f t="shared" si="47"/>
        <v>0</v>
      </c>
      <c r="P19" s="99">
        <f t="shared" si="47"/>
        <v>0</v>
      </c>
      <c r="Q19" s="119" t="s">
        <v>39</v>
      </c>
      <c r="R19" s="122"/>
      <c r="S19" s="27"/>
      <c r="T19" s="32"/>
      <c r="U19" s="120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</row>
    <row r="20" spans="1:251" ht="18" customHeight="1" x14ac:dyDescent="0.3">
      <c r="C20" s="93" t="s">
        <v>40</v>
      </c>
      <c r="D20" s="83" t="s">
        <v>133</v>
      </c>
      <c r="E20" s="329">
        <v>7.4999999999999997E-3</v>
      </c>
      <c r="F20" s="109"/>
      <c r="G20" s="121"/>
      <c r="H20" s="123"/>
      <c r="I20" s="118"/>
      <c r="J20" s="99"/>
      <c r="K20" s="99"/>
      <c r="L20" s="99"/>
      <c r="M20" s="99"/>
      <c r="N20" s="99"/>
      <c r="O20" s="99"/>
      <c r="P20" s="99"/>
      <c r="Q20" s="119"/>
      <c r="R20" s="123"/>
      <c r="S20" s="27"/>
      <c r="T20" s="80" t="s">
        <v>41</v>
      </c>
      <c r="U20" s="124"/>
      <c r="V20" s="124">
        <f>U23</f>
        <v>0</v>
      </c>
      <c r="W20" s="124">
        <f>V23</f>
        <v>470736.16265199706</v>
      </c>
      <c r="X20" s="124">
        <f t="shared" ref="X20:CH20" si="48">W23</f>
        <v>971997.16618457809</v>
      </c>
      <c r="Y20" s="124">
        <f t="shared" si="48"/>
        <v>1503940.0817522295</v>
      </c>
      <c r="Z20" s="124">
        <f t="shared" si="48"/>
        <v>2066722.7887478047</v>
      </c>
      <c r="AA20" s="124">
        <f t="shared" si="48"/>
        <v>2660503.978961464</v>
      </c>
      <c r="AB20" s="124">
        <f t="shared" si="48"/>
        <v>3285443.1607610122</v>
      </c>
      <c r="AC20" s="124">
        <f t="shared" si="48"/>
        <v>3941700.66329375</v>
      </c>
      <c r="AD20" s="124">
        <f t="shared" si="48"/>
        <v>4629437.6407099431</v>
      </c>
      <c r="AE20" s="124">
        <f t="shared" si="48"/>
        <v>5348816.0764080286</v>
      </c>
      <c r="AF20" s="124">
        <f t="shared" si="48"/>
        <v>6099998.7873016596</v>
      </c>
      <c r="AG20" s="124">
        <f t="shared" si="48"/>
        <v>6883149.4281087136</v>
      </c>
      <c r="AH20" s="124">
        <f t="shared" si="48"/>
        <v>7698432.4956623651</v>
      </c>
      <c r="AI20" s="124">
        <f t="shared" si="48"/>
        <v>8546013.3332443461</v>
      </c>
      <c r="AJ20" s="124">
        <f t="shared" si="48"/>
        <v>9426058.1349404994</v>
      </c>
      <c r="AK20" s="124">
        <f t="shared" si="48"/>
        <v>10338733.950018751</v>
      </c>
      <c r="AL20" s="124">
        <f t="shared" si="48"/>
        <v>11284208.6873296</v>
      </c>
      <c r="AM20" s="124">
        <f t="shared" si="48"/>
        <v>12262651.119729262</v>
      </c>
      <c r="AN20" s="124">
        <f t="shared" si="48"/>
        <v>13274230.88852557</v>
      </c>
      <c r="AO20" s="124">
        <f t="shared" si="48"/>
        <v>14319118.507946748</v>
      </c>
      <c r="AP20" s="124">
        <f t="shared" si="48"/>
        <v>15369382.787817448</v>
      </c>
      <c r="AQ20" s="124">
        <f t="shared" si="48"/>
        <v>16425051.394727888</v>
      </c>
      <c r="AR20" s="124">
        <f t="shared" si="48"/>
        <v>17486152.137631785</v>
      </c>
      <c r="AS20" s="124">
        <f t="shared" si="48"/>
        <v>18552712.96857892</v>
      </c>
      <c r="AT20" s="124">
        <f t="shared" si="48"/>
        <v>19624761.98345146</v>
      </c>
      <c r="AU20" s="124">
        <f t="shared" si="48"/>
        <v>20702327.422704075</v>
      </c>
      <c r="AV20" s="124">
        <f t="shared" si="48"/>
        <v>21785437.672107864</v>
      </c>
      <c r="AW20" s="124">
        <f t="shared" si="48"/>
        <v>22874121.263498101</v>
      </c>
      <c r="AX20" s="124">
        <f t="shared" si="48"/>
        <v>23968406.875525843</v>
      </c>
      <c r="AY20" s="124">
        <f t="shared" si="48"/>
        <v>25068323.334413394</v>
      </c>
      <c r="AZ20" s="124">
        <f t="shared" si="48"/>
        <v>26173899.614713658</v>
      </c>
      <c r="BA20" s="124">
        <f t="shared" si="48"/>
        <v>26148282.971737012</v>
      </c>
      <c r="BB20" s="124">
        <f t="shared" si="48"/>
        <v>26035302.593667082</v>
      </c>
      <c r="BC20" s="124">
        <f t="shared" si="48"/>
        <v>25834269.449305471</v>
      </c>
      <c r="BD20" s="124">
        <f t="shared" si="48"/>
        <v>25544489.729603186</v>
      </c>
      <c r="BE20" s="124">
        <f t="shared" si="48"/>
        <v>25165264.816734243</v>
      </c>
      <c r="BF20" s="124">
        <f t="shared" si="48"/>
        <v>24695891.252977502</v>
      </c>
      <c r="BG20" s="124">
        <f t="shared" si="48"/>
        <v>24135660.709405556</v>
      </c>
      <c r="BH20" s="124">
        <f t="shared" si="48"/>
        <v>23483859.954379581</v>
      </c>
      <c r="BI20" s="124">
        <f t="shared" si="48"/>
        <v>22739770.821848884</v>
      </c>
      <c r="BJ20" s="124">
        <f t="shared" si="48"/>
        <v>21902670.17945407</v>
      </c>
      <c r="BK20" s="124">
        <f t="shared" si="48"/>
        <v>20971829.896432564</v>
      </c>
      <c r="BL20" s="124">
        <f t="shared" si="48"/>
        <v>19946516.811325364</v>
      </c>
      <c r="BM20" s="124">
        <f t="shared" si="48"/>
        <v>18825992.69948379</v>
      </c>
      <c r="BN20" s="124">
        <f t="shared" si="48"/>
        <v>17609514.24037502</v>
      </c>
      <c r="BO20" s="124">
        <f t="shared" si="48"/>
        <v>16296332.984685244</v>
      </c>
      <c r="BP20" s="124">
        <f t="shared" si="48"/>
        <v>14885695.321219184</v>
      </c>
      <c r="BQ20" s="124">
        <f t="shared" si="48"/>
        <v>13376842.443594759</v>
      </c>
      <c r="BR20" s="124">
        <f t="shared" si="48"/>
        <v>11769010.316731673</v>
      </c>
      <c r="BS20" s="124">
        <f t="shared" si="48"/>
        <v>10061429.643132685</v>
      </c>
      <c r="BT20" s="124">
        <f t="shared" si="48"/>
        <v>8253325.8289563153</v>
      </c>
      <c r="BU20" s="124">
        <f t="shared" si="48"/>
        <v>6343918.9498797245</v>
      </c>
      <c r="BV20" s="124">
        <f t="shared" si="48"/>
        <v>4332423.7167505194</v>
      </c>
      <c r="BW20" s="124">
        <f t="shared" si="48"/>
        <v>2218049.4410262005</v>
      </c>
      <c r="BX20" s="124">
        <f t="shared" si="48"/>
        <v>0</v>
      </c>
      <c r="BY20" s="124">
        <f t="shared" si="48"/>
        <v>0</v>
      </c>
      <c r="BZ20" s="124">
        <f t="shared" si="48"/>
        <v>0</v>
      </c>
      <c r="CA20" s="124">
        <f t="shared" si="48"/>
        <v>0</v>
      </c>
      <c r="CB20" s="124">
        <f t="shared" si="48"/>
        <v>0</v>
      </c>
      <c r="CC20" s="124">
        <f t="shared" si="48"/>
        <v>0</v>
      </c>
      <c r="CD20" s="124">
        <f t="shared" si="48"/>
        <v>0</v>
      </c>
      <c r="CE20" s="124">
        <f t="shared" si="48"/>
        <v>0</v>
      </c>
      <c r="CF20" s="124">
        <f t="shared" si="48"/>
        <v>0</v>
      </c>
      <c r="CG20" s="124">
        <f t="shared" si="48"/>
        <v>0</v>
      </c>
      <c r="CH20" s="124">
        <f t="shared" si="48"/>
        <v>0</v>
      </c>
      <c r="CI20" s="124">
        <f t="shared" ref="CI20:ET20" si="49">CH23</f>
        <v>0</v>
      </c>
      <c r="CJ20" s="124">
        <f t="shared" si="49"/>
        <v>0</v>
      </c>
      <c r="CK20" s="124">
        <f t="shared" si="49"/>
        <v>0</v>
      </c>
      <c r="CL20" s="124">
        <f t="shared" si="49"/>
        <v>0</v>
      </c>
      <c r="CM20" s="124">
        <f t="shared" si="49"/>
        <v>0</v>
      </c>
      <c r="CN20" s="124">
        <f t="shared" si="49"/>
        <v>0</v>
      </c>
      <c r="CO20" s="124">
        <f t="shared" si="49"/>
        <v>0</v>
      </c>
      <c r="CP20" s="124">
        <f t="shared" si="49"/>
        <v>0</v>
      </c>
      <c r="CQ20" s="124">
        <f t="shared" si="49"/>
        <v>0</v>
      </c>
      <c r="CR20" s="124">
        <f t="shared" si="49"/>
        <v>0</v>
      </c>
      <c r="CS20" s="124">
        <f t="shared" si="49"/>
        <v>0</v>
      </c>
      <c r="CT20" s="124">
        <f t="shared" si="49"/>
        <v>0</v>
      </c>
      <c r="CU20" s="124">
        <f t="shared" si="49"/>
        <v>0</v>
      </c>
      <c r="CV20" s="124">
        <f t="shared" si="49"/>
        <v>0</v>
      </c>
      <c r="CW20" s="124">
        <f t="shared" si="49"/>
        <v>0</v>
      </c>
      <c r="CX20" s="124">
        <f t="shared" si="49"/>
        <v>0</v>
      </c>
      <c r="CY20" s="124">
        <f t="shared" si="49"/>
        <v>0</v>
      </c>
      <c r="CZ20" s="124">
        <f t="shared" si="49"/>
        <v>0</v>
      </c>
      <c r="DA20" s="124">
        <f t="shared" si="49"/>
        <v>0</v>
      </c>
      <c r="DB20" s="124">
        <f t="shared" si="49"/>
        <v>0</v>
      </c>
      <c r="DC20" s="124">
        <f t="shared" si="49"/>
        <v>0</v>
      </c>
      <c r="DD20" s="124">
        <f t="shared" si="49"/>
        <v>0</v>
      </c>
      <c r="DE20" s="124">
        <f t="shared" si="49"/>
        <v>0</v>
      </c>
      <c r="DF20" s="124">
        <f t="shared" si="49"/>
        <v>0</v>
      </c>
      <c r="DG20" s="124">
        <f t="shared" si="49"/>
        <v>0</v>
      </c>
      <c r="DH20" s="124">
        <f t="shared" si="49"/>
        <v>0</v>
      </c>
      <c r="DI20" s="124">
        <f t="shared" si="49"/>
        <v>0</v>
      </c>
      <c r="DJ20" s="124">
        <f t="shared" si="49"/>
        <v>0</v>
      </c>
      <c r="DK20" s="124">
        <f t="shared" si="49"/>
        <v>0</v>
      </c>
      <c r="DL20" s="124">
        <f t="shared" si="49"/>
        <v>0</v>
      </c>
      <c r="DM20" s="124">
        <f t="shared" si="49"/>
        <v>0</v>
      </c>
      <c r="DN20" s="124">
        <f t="shared" si="49"/>
        <v>0</v>
      </c>
      <c r="DO20" s="124">
        <f t="shared" si="49"/>
        <v>0</v>
      </c>
      <c r="DP20" s="124">
        <f t="shared" si="49"/>
        <v>0</v>
      </c>
      <c r="DQ20" s="124">
        <f t="shared" si="49"/>
        <v>0</v>
      </c>
      <c r="DR20" s="124">
        <f t="shared" si="49"/>
        <v>0</v>
      </c>
      <c r="DS20" s="124">
        <f t="shared" si="49"/>
        <v>0</v>
      </c>
      <c r="DT20" s="124">
        <f t="shared" si="49"/>
        <v>0</v>
      </c>
      <c r="DU20" s="124">
        <f t="shared" si="49"/>
        <v>0</v>
      </c>
      <c r="DV20" s="124">
        <f t="shared" si="49"/>
        <v>0</v>
      </c>
      <c r="DW20" s="124">
        <f t="shared" si="49"/>
        <v>0</v>
      </c>
      <c r="DX20" s="124">
        <f t="shared" si="49"/>
        <v>0</v>
      </c>
      <c r="DY20" s="124">
        <f t="shared" si="49"/>
        <v>0</v>
      </c>
      <c r="DZ20" s="124">
        <f t="shared" si="49"/>
        <v>0</v>
      </c>
      <c r="EA20" s="124">
        <f t="shared" si="49"/>
        <v>0</v>
      </c>
      <c r="EB20" s="124">
        <f t="shared" si="49"/>
        <v>0</v>
      </c>
      <c r="EC20" s="124">
        <f t="shared" si="49"/>
        <v>0</v>
      </c>
      <c r="ED20" s="124">
        <f t="shared" si="49"/>
        <v>0</v>
      </c>
      <c r="EE20" s="124">
        <f t="shared" si="49"/>
        <v>0</v>
      </c>
      <c r="EF20" s="124">
        <f t="shared" si="49"/>
        <v>0</v>
      </c>
      <c r="EG20" s="124">
        <f t="shared" si="49"/>
        <v>0</v>
      </c>
      <c r="EH20" s="124">
        <f t="shared" si="49"/>
        <v>0</v>
      </c>
      <c r="EI20" s="124">
        <f t="shared" si="49"/>
        <v>0</v>
      </c>
      <c r="EJ20" s="124">
        <f t="shared" si="49"/>
        <v>0</v>
      </c>
      <c r="EK20" s="124">
        <f t="shared" si="49"/>
        <v>0</v>
      </c>
      <c r="EL20" s="124">
        <f t="shared" si="49"/>
        <v>0</v>
      </c>
      <c r="EM20" s="124">
        <f t="shared" si="49"/>
        <v>0</v>
      </c>
      <c r="EN20" s="124">
        <f t="shared" si="49"/>
        <v>0</v>
      </c>
      <c r="EO20" s="124">
        <f t="shared" si="49"/>
        <v>0</v>
      </c>
      <c r="EP20" s="124">
        <f t="shared" si="49"/>
        <v>0</v>
      </c>
      <c r="EQ20" s="124">
        <f t="shared" si="49"/>
        <v>0</v>
      </c>
      <c r="ER20" s="124">
        <f t="shared" si="49"/>
        <v>0</v>
      </c>
      <c r="ES20" s="124">
        <f t="shared" si="49"/>
        <v>0</v>
      </c>
      <c r="ET20" s="124">
        <f t="shared" si="49"/>
        <v>0</v>
      </c>
      <c r="EU20" s="124">
        <f t="shared" ref="EU20:HF20" si="50">ET23</f>
        <v>0</v>
      </c>
      <c r="EV20" s="124">
        <f t="shared" si="50"/>
        <v>0</v>
      </c>
      <c r="EW20" s="124">
        <f t="shared" si="50"/>
        <v>0</v>
      </c>
      <c r="EX20" s="124">
        <f t="shared" si="50"/>
        <v>0</v>
      </c>
      <c r="EY20" s="124">
        <f t="shared" si="50"/>
        <v>0</v>
      </c>
      <c r="EZ20" s="124">
        <f t="shared" si="50"/>
        <v>0</v>
      </c>
      <c r="FA20" s="124">
        <f t="shared" si="50"/>
        <v>0</v>
      </c>
      <c r="FB20" s="124">
        <f t="shared" si="50"/>
        <v>0</v>
      </c>
      <c r="FC20" s="124">
        <f t="shared" si="50"/>
        <v>0</v>
      </c>
      <c r="FD20" s="124">
        <f t="shared" si="50"/>
        <v>0</v>
      </c>
      <c r="FE20" s="124">
        <f t="shared" si="50"/>
        <v>0</v>
      </c>
      <c r="FF20" s="124">
        <f t="shared" si="50"/>
        <v>0</v>
      </c>
      <c r="FG20" s="124">
        <f t="shared" si="50"/>
        <v>0</v>
      </c>
      <c r="FH20" s="124">
        <f t="shared" si="50"/>
        <v>0</v>
      </c>
      <c r="FI20" s="124">
        <f t="shared" si="50"/>
        <v>0</v>
      </c>
      <c r="FJ20" s="124">
        <f t="shared" si="50"/>
        <v>0</v>
      </c>
      <c r="FK20" s="124">
        <f t="shared" si="50"/>
        <v>0</v>
      </c>
      <c r="FL20" s="124">
        <f t="shared" si="50"/>
        <v>0</v>
      </c>
      <c r="FM20" s="124">
        <f t="shared" si="50"/>
        <v>0</v>
      </c>
      <c r="FN20" s="124">
        <f t="shared" si="50"/>
        <v>0</v>
      </c>
      <c r="FO20" s="124">
        <f t="shared" si="50"/>
        <v>0</v>
      </c>
      <c r="FP20" s="124">
        <f t="shared" si="50"/>
        <v>0</v>
      </c>
      <c r="FQ20" s="124">
        <f t="shared" si="50"/>
        <v>0</v>
      </c>
      <c r="FR20" s="124">
        <f t="shared" si="50"/>
        <v>0</v>
      </c>
      <c r="FS20" s="124">
        <f t="shared" si="50"/>
        <v>0</v>
      </c>
      <c r="FT20" s="124">
        <f t="shared" si="50"/>
        <v>0</v>
      </c>
      <c r="FU20" s="124">
        <f t="shared" si="50"/>
        <v>0</v>
      </c>
      <c r="FV20" s="124">
        <f t="shared" si="50"/>
        <v>0</v>
      </c>
      <c r="FW20" s="124">
        <f t="shared" si="50"/>
        <v>0</v>
      </c>
      <c r="FX20" s="124">
        <f t="shared" si="50"/>
        <v>0</v>
      </c>
      <c r="FY20" s="124">
        <f t="shared" si="50"/>
        <v>0</v>
      </c>
      <c r="FZ20" s="124">
        <f t="shared" si="50"/>
        <v>0</v>
      </c>
      <c r="GA20" s="124">
        <f t="shared" si="50"/>
        <v>0</v>
      </c>
      <c r="GB20" s="124">
        <f t="shared" si="50"/>
        <v>0</v>
      </c>
      <c r="GC20" s="124">
        <f t="shared" si="50"/>
        <v>0</v>
      </c>
      <c r="GD20" s="124">
        <f t="shared" si="50"/>
        <v>0</v>
      </c>
      <c r="GE20" s="124">
        <f t="shared" si="50"/>
        <v>0</v>
      </c>
      <c r="GF20" s="124">
        <f t="shared" si="50"/>
        <v>0</v>
      </c>
      <c r="GG20" s="124">
        <f t="shared" si="50"/>
        <v>0</v>
      </c>
      <c r="GH20" s="124">
        <f t="shared" si="50"/>
        <v>0</v>
      </c>
      <c r="GI20" s="124">
        <f t="shared" si="50"/>
        <v>0</v>
      </c>
      <c r="GJ20" s="124">
        <f t="shared" si="50"/>
        <v>0</v>
      </c>
      <c r="GK20" s="124">
        <f t="shared" si="50"/>
        <v>0</v>
      </c>
      <c r="GL20" s="124">
        <f t="shared" si="50"/>
        <v>0</v>
      </c>
      <c r="GM20" s="124">
        <f t="shared" si="50"/>
        <v>0</v>
      </c>
      <c r="GN20" s="124">
        <f t="shared" si="50"/>
        <v>0</v>
      </c>
      <c r="GO20" s="124">
        <f t="shared" si="50"/>
        <v>0</v>
      </c>
      <c r="GP20" s="124">
        <f t="shared" si="50"/>
        <v>0</v>
      </c>
      <c r="GQ20" s="124">
        <f t="shared" si="50"/>
        <v>0</v>
      </c>
      <c r="GR20" s="124">
        <f t="shared" si="50"/>
        <v>0</v>
      </c>
      <c r="GS20" s="124">
        <f t="shared" si="50"/>
        <v>0</v>
      </c>
      <c r="GT20" s="124">
        <f t="shared" si="50"/>
        <v>0</v>
      </c>
      <c r="GU20" s="124">
        <f t="shared" si="50"/>
        <v>0</v>
      </c>
      <c r="GV20" s="124">
        <f t="shared" si="50"/>
        <v>0</v>
      </c>
      <c r="GW20" s="124">
        <f t="shared" si="50"/>
        <v>0</v>
      </c>
      <c r="GX20" s="124">
        <f t="shared" si="50"/>
        <v>0</v>
      </c>
      <c r="GY20" s="124">
        <f t="shared" si="50"/>
        <v>0</v>
      </c>
      <c r="GZ20" s="124">
        <f t="shared" si="50"/>
        <v>0</v>
      </c>
      <c r="HA20" s="124">
        <f t="shared" si="50"/>
        <v>0</v>
      </c>
      <c r="HB20" s="124">
        <f t="shared" si="50"/>
        <v>0</v>
      </c>
      <c r="HC20" s="124">
        <f t="shared" si="50"/>
        <v>0</v>
      </c>
      <c r="HD20" s="124">
        <f t="shared" si="50"/>
        <v>0</v>
      </c>
      <c r="HE20" s="124">
        <f t="shared" si="50"/>
        <v>0</v>
      </c>
      <c r="HF20" s="124">
        <f t="shared" si="50"/>
        <v>0</v>
      </c>
      <c r="HG20" s="124">
        <f t="shared" ref="HG20:IB20" si="51">HF23</f>
        <v>0</v>
      </c>
      <c r="HH20" s="124">
        <f t="shared" si="51"/>
        <v>0</v>
      </c>
      <c r="HI20" s="124">
        <f t="shared" si="51"/>
        <v>0</v>
      </c>
      <c r="HJ20" s="124">
        <f t="shared" si="51"/>
        <v>0</v>
      </c>
      <c r="HK20" s="124">
        <f t="shared" si="51"/>
        <v>0</v>
      </c>
      <c r="HL20" s="124">
        <f t="shared" si="51"/>
        <v>0</v>
      </c>
      <c r="HM20" s="124">
        <f t="shared" si="51"/>
        <v>0</v>
      </c>
      <c r="HN20" s="124">
        <f t="shared" si="51"/>
        <v>0</v>
      </c>
      <c r="HO20" s="124">
        <f t="shared" si="51"/>
        <v>0</v>
      </c>
      <c r="HP20" s="124">
        <f t="shared" si="51"/>
        <v>0</v>
      </c>
      <c r="HQ20" s="124">
        <f t="shared" si="51"/>
        <v>0</v>
      </c>
      <c r="HR20" s="124">
        <f t="shared" si="51"/>
        <v>0</v>
      </c>
      <c r="HS20" s="124">
        <f t="shared" si="51"/>
        <v>0</v>
      </c>
      <c r="HT20" s="124">
        <f t="shared" si="51"/>
        <v>0</v>
      </c>
      <c r="HU20" s="124">
        <f t="shared" si="51"/>
        <v>0</v>
      </c>
      <c r="HV20" s="124">
        <f t="shared" si="51"/>
        <v>0</v>
      </c>
      <c r="HW20" s="124">
        <f t="shared" si="51"/>
        <v>0</v>
      </c>
      <c r="HX20" s="124">
        <f t="shared" si="51"/>
        <v>0</v>
      </c>
      <c r="HY20" s="124">
        <f t="shared" si="51"/>
        <v>0</v>
      </c>
      <c r="HZ20" s="124">
        <f t="shared" si="51"/>
        <v>0</v>
      </c>
      <c r="IA20" s="124">
        <f t="shared" si="51"/>
        <v>0</v>
      </c>
      <c r="IB20" s="124">
        <f t="shared" si="51"/>
        <v>0</v>
      </c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</row>
    <row r="21" spans="1:251" ht="18" customHeight="1" x14ac:dyDescent="0.3">
      <c r="C21" s="93"/>
      <c r="D21" s="83" t="s">
        <v>134</v>
      </c>
      <c r="E21" s="331" t="b">
        <v>0</v>
      </c>
      <c r="F21" s="125"/>
      <c r="G21" s="126"/>
      <c r="H21" s="123"/>
      <c r="I21" s="118" t="s">
        <v>42</v>
      </c>
      <c r="J21" s="99">
        <f t="shared" ref="J21:P21" si="52">SUMIFS($U$13:$IB$13,$U$7:$IB$7,"="&amp;J$17)/Units</f>
        <v>74.18997432333336</v>
      </c>
      <c r="K21" s="99">
        <f t="shared" si="52"/>
        <v>37.5</v>
      </c>
      <c r="L21" s="99">
        <f t="shared" si="52"/>
        <v>0</v>
      </c>
      <c r="M21" s="99">
        <f>SUMIFS($U$13:$IB$13,$U$7:$IB$7,"="&amp;M$17)/Units</f>
        <v>0</v>
      </c>
      <c r="N21" s="99">
        <f t="shared" si="52"/>
        <v>0</v>
      </c>
      <c r="O21" s="99">
        <f t="shared" si="52"/>
        <v>0</v>
      </c>
      <c r="P21" s="99">
        <f t="shared" si="52"/>
        <v>0</v>
      </c>
      <c r="Q21" s="119" t="s">
        <v>39</v>
      </c>
      <c r="R21" s="123"/>
      <c r="S21" s="127"/>
      <c r="T21" s="34" t="s">
        <v>43</v>
      </c>
      <c r="U21" s="58"/>
      <c r="V21" s="58">
        <f>V33</f>
        <v>470736.16265199706</v>
      </c>
      <c r="W21" s="58">
        <f t="shared" ref="W21:CH21" si="53">W33</f>
        <v>501261.00353258103</v>
      </c>
      <c r="X21" s="58">
        <f t="shared" si="53"/>
        <v>531942.91556765127</v>
      </c>
      <c r="Y21" s="58">
        <f t="shared" si="53"/>
        <v>562782.70699557511</v>
      </c>
      <c r="Z21" s="58">
        <f t="shared" si="53"/>
        <v>593781.19021365908</v>
      </c>
      <c r="AA21" s="58">
        <f t="shared" si="53"/>
        <v>624939.1817995481</v>
      </c>
      <c r="AB21" s="58">
        <f t="shared" si="53"/>
        <v>656257.50253273756</v>
      </c>
      <c r="AC21" s="58">
        <f t="shared" si="53"/>
        <v>687736.97741619335</v>
      </c>
      <c r="AD21" s="58">
        <f t="shared" si="53"/>
        <v>719378.435698085</v>
      </c>
      <c r="AE21" s="58">
        <f t="shared" si="53"/>
        <v>751182.71089363052</v>
      </c>
      <c r="AF21" s="58">
        <f t="shared" si="53"/>
        <v>783150.64080705377</v>
      </c>
      <c r="AG21" s="58">
        <f t="shared" si="53"/>
        <v>815283.06755365129</v>
      </c>
      <c r="AH21" s="58">
        <f t="shared" si="53"/>
        <v>847580.83758198027</v>
      </c>
      <c r="AI21" s="58">
        <f t="shared" si="53"/>
        <v>880044.80169615359</v>
      </c>
      <c r="AJ21" s="58">
        <f t="shared" si="53"/>
        <v>912675.81507825106</v>
      </c>
      <c r="AK21" s="58">
        <f t="shared" si="53"/>
        <v>945474.73731084843</v>
      </c>
      <c r="AL21" s="58">
        <f t="shared" si="53"/>
        <v>978442.43239966244</v>
      </c>
      <c r="AM21" s="58">
        <f t="shared" si="53"/>
        <v>1011579.7687963087</v>
      </c>
      <c r="AN21" s="58">
        <f t="shared" si="53"/>
        <v>1044887.6194211787</v>
      </c>
      <c r="AO21" s="58">
        <f t="shared" si="53"/>
        <v>1050264.2798707003</v>
      </c>
      <c r="AP21" s="58">
        <f t="shared" si="53"/>
        <v>1055668.606910439</v>
      </c>
      <c r="AQ21" s="58">
        <f t="shared" si="53"/>
        <v>1061100.7429038973</v>
      </c>
      <c r="AR21" s="58">
        <f t="shared" si="53"/>
        <v>1066560.8309471356</v>
      </c>
      <c r="AS21" s="58">
        <f t="shared" si="53"/>
        <v>1072049.0148725414</v>
      </c>
      <c r="AT21" s="58">
        <f t="shared" si="53"/>
        <v>1077565.4392526164</v>
      </c>
      <c r="AU21" s="58">
        <f t="shared" si="53"/>
        <v>1083110.2494037892</v>
      </c>
      <c r="AV21" s="58">
        <f t="shared" si="53"/>
        <v>1088683.5913902384</v>
      </c>
      <c r="AW21" s="58">
        <f t="shared" si="53"/>
        <v>1094285.6120277431</v>
      </c>
      <c r="AX21" s="58">
        <f t="shared" si="53"/>
        <v>1099916.4588875514</v>
      </c>
      <c r="AY21" s="58">
        <f t="shared" si="53"/>
        <v>1105576.2803002645</v>
      </c>
      <c r="AZ21" s="58">
        <f t="shared" si="53"/>
        <v>1111265.2253597463</v>
      </c>
      <c r="BA21" s="58">
        <f t="shared" si="53"/>
        <v>1070442.4670967567</v>
      </c>
      <c r="BB21" s="58">
        <f t="shared" si="53"/>
        <v>1029170.1627481712</v>
      </c>
      <c r="BC21" s="58">
        <f t="shared" si="53"/>
        <v>987444.76677787257</v>
      </c>
      <c r="BD21" s="58">
        <f t="shared" si="53"/>
        <v>945262.70906443894</v>
      </c>
      <c r="BE21" s="58">
        <f t="shared" si="53"/>
        <v>902620.39474200807</v>
      </c>
      <c r="BF21" s="58">
        <f t="shared" si="53"/>
        <v>859514.20404014853</v>
      </c>
      <c r="BG21" s="58">
        <f t="shared" si="53"/>
        <v>815940.4921227484</v>
      </c>
      <c r="BH21" s="58">
        <f t="shared" si="53"/>
        <v>771895.58892589551</v>
      </c>
      <c r="BI21" s="58">
        <f t="shared" si="53"/>
        <v>727375.79899475921</v>
      </c>
      <c r="BJ21" s="58">
        <f t="shared" si="53"/>
        <v>682377.40131945827</v>
      </c>
      <c r="BK21" s="58">
        <f t="shared" si="53"/>
        <v>636896.64916991326</v>
      </c>
      <c r="BL21" s="58">
        <f t="shared" si="53"/>
        <v>590929.76992967608</v>
      </c>
      <c r="BM21" s="58">
        <f t="shared" si="53"/>
        <v>544472.96492872946</v>
      </c>
      <c r="BN21" s="58">
        <f t="shared" si="53"/>
        <v>497522.40927525074</v>
      </c>
      <c r="BO21" s="58">
        <f t="shared" si="53"/>
        <v>450074.25168633834</v>
      </c>
      <c r="BP21" s="58">
        <f t="shared" si="53"/>
        <v>402124.61431768315</v>
      </c>
      <c r="BQ21" s="58">
        <f t="shared" si="53"/>
        <v>353669.59259219235</v>
      </c>
      <c r="BR21" s="58">
        <f t="shared" si="53"/>
        <v>304705.25502754975</v>
      </c>
      <c r="BS21" s="58">
        <f t="shared" si="53"/>
        <v>255227.6430627096</v>
      </c>
      <c r="BT21" s="58">
        <f t="shared" si="53"/>
        <v>205232.7708833181</v>
      </c>
      <c r="BU21" s="58">
        <f t="shared" si="53"/>
        <v>154716.62524605333</v>
      </c>
      <c r="BV21" s="58">
        <f t="shared" si="53"/>
        <v>103675.1653018822</v>
      </c>
      <c r="BW21" s="58">
        <f t="shared" si="53"/>
        <v>124718.09617661548</v>
      </c>
      <c r="BX21" s="58">
        <f t="shared" si="53"/>
        <v>0</v>
      </c>
      <c r="BY21" s="58">
        <f t="shared" si="53"/>
        <v>0</v>
      </c>
      <c r="BZ21" s="58">
        <f t="shared" si="53"/>
        <v>0</v>
      </c>
      <c r="CA21" s="58">
        <f t="shared" si="53"/>
        <v>0</v>
      </c>
      <c r="CB21" s="58">
        <f t="shared" si="53"/>
        <v>0</v>
      </c>
      <c r="CC21" s="58">
        <f t="shared" si="53"/>
        <v>0</v>
      </c>
      <c r="CD21" s="58">
        <f t="shared" si="53"/>
        <v>0</v>
      </c>
      <c r="CE21" s="58">
        <f t="shared" si="53"/>
        <v>0</v>
      </c>
      <c r="CF21" s="58">
        <f t="shared" si="53"/>
        <v>0</v>
      </c>
      <c r="CG21" s="58">
        <f t="shared" si="53"/>
        <v>0</v>
      </c>
      <c r="CH21" s="58">
        <f t="shared" si="53"/>
        <v>0</v>
      </c>
      <c r="CI21" s="58">
        <f t="shared" ref="CI21:ET21" si="54">CI33</f>
        <v>0</v>
      </c>
      <c r="CJ21" s="58">
        <f t="shared" si="54"/>
        <v>0</v>
      </c>
      <c r="CK21" s="58">
        <f t="shared" si="54"/>
        <v>0</v>
      </c>
      <c r="CL21" s="58">
        <f t="shared" si="54"/>
        <v>0</v>
      </c>
      <c r="CM21" s="58">
        <f t="shared" si="54"/>
        <v>0</v>
      </c>
      <c r="CN21" s="58">
        <f t="shared" si="54"/>
        <v>0</v>
      </c>
      <c r="CO21" s="58">
        <f t="shared" si="54"/>
        <v>0</v>
      </c>
      <c r="CP21" s="58">
        <f t="shared" si="54"/>
        <v>0</v>
      </c>
      <c r="CQ21" s="58">
        <f t="shared" si="54"/>
        <v>0</v>
      </c>
      <c r="CR21" s="58">
        <f t="shared" si="54"/>
        <v>0</v>
      </c>
      <c r="CS21" s="58">
        <f t="shared" si="54"/>
        <v>0</v>
      </c>
      <c r="CT21" s="58">
        <f t="shared" si="54"/>
        <v>0</v>
      </c>
      <c r="CU21" s="58">
        <f t="shared" si="54"/>
        <v>0</v>
      </c>
      <c r="CV21" s="58">
        <f t="shared" si="54"/>
        <v>0</v>
      </c>
      <c r="CW21" s="58">
        <f t="shared" si="54"/>
        <v>0</v>
      </c>
      <c r="CX21" s="58">
        <f t="shared" si="54"/>
        <v>0</v>
      </c>
      <c r="CY21" s="58">
        <f t="shared" si="54"/>
        <v>0</v>
      </c>
      <c r="CZ21" s="58">
        <f t="shared" si="54"/>
        <v>0</v>
      </c>
      <c r="DA21" s="58">
        <f t="shared" si="54"/>
        <v>0</v>
      </c>
      <c r="DB21" s="58">
        <f t="shared" si="54"/>
        <v>0</v>
      </c>
      <c r="DC21" s="58">
        <f t="shared" si="54"/>
        <v>0</v>
      </c>
      <c r="DD21" s="58">
        <f t="shared" si="54"/>
        <v>0</v>
      </c>
      <c r="DE21" s="58">
        <f t="shared" si="54"/>
        <v>0</v>
      </c>
      <c r="DF21" s="58">
        <f t="shared" si="54"/>
        <v>0</v>
      </c>
      <c r="DG21" s="58">
        <f t="shared" si="54"/>
        <v>0</v>
      </c>
      <c r="DH21" s="58">
        <f t="shared" si="54"/>
        <v>0</v>
      </c>
      <c r="DI21" s="58">
        <f t="shared" si="54"/>
        <v>0</v>
      </c>
      <c r="DJ21" s="58">
        <f t="shared" si="54"/>
        <v>0</v>
      </c>
      <c r="DK21" s="58">
        <f t="shared" si="54"/>
        <v>0</v>
      </c>
      <c r="DL21" s="58">
        <f t="shared" si="54"/>
        <v>0</v>
      </c>
      <c r="DM21" s="58">
        <f t="shared" si="54"/>
        <v>0</v>
      </c>
      <c r="DN21" s="58">
        <f t="shared" si="54"/>
        <v>0</v>
      </c>
      <c r="DO21" s="58">
        <f t="shared" si="54"/>
        <v>0</v>
      </c>
      <c r="DP21" s="58">
        <f t="shared" si="54"/>
        <v>0</v>
      </c>
      <c r="DQ21" s="58">
        <f t="shared" si="54"/>
        <v>0</v>
      </c>
      <c r="DR21" s="58">
        <f t="shared" si="54"/>
        <v>0</v>
      </c>
      <c r="DS21" s="58">
        <f t="shared" si="54"/>
        <v>0</v>
      </c>
      <c r="DT21" s="58">
        <f t="shared" si="54"/>
        <v>0</v>
      </c>
      <c r="DU21" s="58">
        <f t="shared" si="54"/>
        <v>0</v>
      </c>
      <c r="DV21" s="58">
        <f t="shared" si="54"/>
        <v>0</v>
      </c>
      <c r="DW21" s="58">
        <f t="shared" si="54"/>
        <v>0</v>
      </c>
      <c r="DX21" s="58">
        <f t="shared" si="54"/>
        <v>0</v>
      </c>
      <c r="DY21" s="58">
        <f t="shared" si="54"/>
        <v>0</v>
      </c>
      <c r="DZ21" s="58">
        <f t="shared" si="54"/>
        <v>0</v>
      </c>
      <c r="EA21" s="58">
        <f t="shared" si="54"/>
        <v>0</v>
      </c>
      <c r="EB21" s="58">
        <f t="shared" si="54"/>
        <v>0</v>
      </c>
      <c r="EC21" s="58">
        <f t="shared" si="54"/>
        <v>0</v>
      </c>
      <c r="ED21" s="58">
        <f t="shared" si="54"/>
        <v>0</v>
      </c>
      <c r="EE21" s="58">
        <f t="shared" si="54"/>
        <v>0</v>
      </c>
      <c r="EF21" s="58">
        <f t="shared" si="54"/>
        <v>0</v>
      </c>
      <c r="EG21" s="58">
        <f t="shared" si="54"/>
        <v>0</v>
      </c>
      <c r="EH21" s="58">
        <f t="shared" si="54"/>
        <v>0</v>
      </c>
      <c r="EI21" s="58">
        <f t="shared" si="54"/>
        <v>0</v>
      </c>
      <c r="EJ21" s="58">
        <f t="shared" si="54"/>
        <v>0</v>
      </c>
      <c r="EK21" s="58">
        <f t="shared" si="54"/>
        <v>0</v>
      </c>
      <c r="EL21" s="58">
        <f t="shared" si="54"/>
        <v>0</v>
      </c>
      <c r="EM21" s="58">
        <f t="shared" si="54"/>
        <v>0</v>
      </c>
      <c r="EN21" s="58">
        <f t="shared" si="54"/>
        <v>0</v>
      </c>
      <c r="EO21" s="58">
        <f t="shared" si="54"/>
        <v>0</v>
      </c>
      <c r="EP21" s="58">
        <f t="shared" si="54"/>
        <v>0</v>
      </c>
      <c r="EQ21" s="58">
        <f t="shared" si="54"/>
        <v>0</v>
      </c>
      <c r="ER21" s="58">
        <f t="shared" si="54"/>
        <v>0</v>
      </c>
      <c r="ES21" s="58">
        <f t="shared" si="54"/>
        <v>0</v>
      </c>
      <c r="ET21" s="58">
        <f t="shared" si="54"/>
        <v>0</v>
      </c>
      <c r="EU21" s="58">
        <f t="shared" ref="EU21:HF21" si="55">EU33</f>
        <v>0</v>
      </c>
      <c r="EV21" s="58">
        <f t="shared" si="55"/>
        <v>0</v>
      </c>
      <c r="EW21" s="58">
        <f t="shared" si="55"/>
        <v>0</v>
      </c>
      <c r="EX21" s="58">
        <f t="shared" si="55"/>
        <v>0</v>
      </c>
      <c r="EY21" s="58">
        <f t="shared" si="55"/>
        <v>0</v>
      </c>
      <c r="EZ21" s="58">
        <f t="shared" si="55"/>
        <v>0</v>
      </c>
      <c r="FA21" s="58">
        <f t="shared" si="55"/>
        <v>0</v>
      </c>
      <c r="FB21" s="58">
        <f t="shared" si="55"/>
        <v>0</v>
      </c>
      <c r="FC21" s="58">
        <f t="shared" si="55"/>
        <v>0</v>
      </c>
      <c r="FD21" s="58">
        <f t="shared" si="55"/>
        <v>0</v>
      </c>
      <c r="FE21" s="58">
        <f t="shared" si="55"/>
        <v>0</v>
      </c>
      <c r="FF21" s="58">
        <f t="shared" si="55"/>
        <v>0</v>
      </c>
      <c r="FG21" s="58">
        <f t="shared" si="55"/>
        <v>0</v>
      </c>
      <c r="FH21" s="58">
        <f t="shared" si="55"/>
        <v>0</v>
      </c>
      <c r="FI21" s="58">
        <f t="shared" si="55"/>
        <v>0</v>
      </c>
      <c r="FJ21" s="58">
        <f t="shared" si="55"/>
        <v>0</v>
      </c>
      <c r="FK21" s="58">
        <f t="shared" si="55"/>
        <v>0</v>
      </c>
      <c r="FL21" s="58">
        <f t="shared" si="55"/>
        <v>0</v>
      </c>
      <c r="FM21" s="58">
        <f t="shared" si="55"/>
        <v>0</v>
      </c>
      <c r="FN21" s="58">
        <f t="shared" si="55"/>
        <v>0</v>
      </c>
      <c r="FO21" s="58">
        <f t="shared" si="55"/>
        <v>0</v>
      </c>
      <c r="FP21" s="58">
        <f t="shared" si="55"/>
        <v>0</v>
      </c>
      <c r="FQ21" s="58">
        <f t="shared" si="55"/>
        <v>0</v>
      </c>
      <c r="FR21" s="58">
        <f t="shared" si="55"/>
        <v>0</v>
      </c>
      <c r="FS21" s="58">
        <f t="shared" si="55"/>
        <v>0</v>
      </c>
      <c r="FT21" s="58">
        <f t="shared" si="55"/>
        <v>0</v>
      </c>
      <c r="FU21" s="58">
        <f t="shared" si="55"/>
        <v>0</v>
      </c>
      <c r="FV21" s="58">
        <f t="shared" si="55"/>
        <v>0</v>
      </c>
      <c r="FW21" s="58">
        <f t="shared" si="55"/>
        <v>0</v>
      </c>
      <c r="FX21" s="58">
        <f t="shared" si="55"/>
        <v>0</v>
      </c>
      <c r="FY21" s="58">
        <f t="shared" si="55"/>
        <v>0</v>
      </c>
      <c r="FZ21" s="58">
        <f t="shared" si="55"/>
        <v>0</v>
      </c>
      <c r="GA21" s="58">
        <f t="shared" si="55"/>
        <v>0</v>
      </c>
      <c r="GB21" s="58">
        <f t="shared" si="55"/>
        <v>0</v>
      </c>
      <c r="GC21" s="58">
        <f t="shared" si="55"/>
        <v>0</v>
      </c>
      <c r="GD21" s="58">
        <f t="shared" si="55"/>
        <v>0</v>
      </c>
      <c r="GE21" s="58">
        <f t="shared" si="55"/>
        <v>0</v>
      </c>
      <c r="GF21" s="58">
        <f t="shared" si="55"/>
        <v>0</v>
      </c>
      <c r="GG21" s="58">
        <f t="shared" si="55"/>
        <v>0</v>
      </c>
      <c r="GH21" s="58">
        <f t="shared" si="55"/>
        <v>0</v>
      </c>
      <c r="GI21" s="58">
        <f t="shared" si="55"/>
        <v>0</v>
      </c>
      <c r="GJ21" s="58">
        <f t="shared" si="55"/>
        <v>0</v>
      </c>
      <c r="GK21" s="58">
        <f t="shared" si="55"/>
        <v>0</v>
      </c>
      <c r="GL21" s="58">
        <f t="shared" si="55"/>
        <v>0</v>
      </c>
      <c r="GM21" s="58">
        <f t="shared" si="55"/>
        <v>0</v>
      </c>
      <c r="GN21" s="58">
        <f t="shared" si="55"/>
        <v>0</v>
      </c>
      <c r="GO21" s="58">
        <f t="shared" si="55"/>
        <v>0</v>
      </c>
      <c r="GP21" s="58">
        <f t="shared" si="55"/>
        <v>0</v>
      </c>
      <c r="GQ21" s="58">
        <f t="shared" si="55"/>
        <v>0</v>
      </c>
      <c r="GR21" s="58">
        <f t="shared" si="55"/>
        <v>0</v>
      </c>
      <c r="GS21" s="58">
        <f t="shared" si="55"/>
        <v>0</v>
      </c>
      <c r="GT21" s="58">
        <f t="shared" si="55"/>
        <v>0</v>
      </c>
      <c r="GU21" s="58">
        <f t="shared" si="55"/>
        <v>0</v>
      </c>
      <c r="GV21" s="58">
        <f t="shared" si="55"/>
        <v>0</v>
      </c>
      <c r="GW21" s="58">
        <f t="shared" si="55"/>
        <v>0</v>
      </c>
      <c r="GX21" s="58">
        <f t="shared" si="55"/>
        <v>0</v>
      </c>
      <c r="GY21" s="58">
        <f t="shared" si="55"/>
        <v>0</v>
      </c>
      <c r="GZ21" s="58">
        <f t="shared" si="55"/>
        <v>0</v>
      </c>
      <c r="HA21" s="58">
        <f t="shared" si="55"/>
        <v>0</v>
      </c>
      <c r="HB21" s="58">
        <f t="shared" si="55"/>
        <v>0</v>
      </c>
      <c r="HC21" s="58">
        <f t="shared" si="55"/>
        <v>0</v>
      </c>
      <c r="HD21" s="58">
        <f t="shared" si="55"/>
        <v>0</v>
      </c>
      <c r="HE21" s="58">
        <f t="shared" si="55"/>
        <v>0</v>
      </c>
      <c r="HF21" s="58">
        <f t="shared" si="55"/>
        <v>0</v>
      </c>
      <c r="HG21" s="58">
        <f t="shared" ref="HG21:IB21" si="56">HG33</f>
        <v>0</v>
      </c>
      <c r="HH21" s="58">
        <f t="shared" si="56"/>
        <v>0</v>
      </c>
      <c r="HI21" s="58">
        <f t="shared" si="56"/>
        <v>0</v>
      </c>
      <c r="HJ21" s="58">
        <f t="shared" si="56"/>
        <v>0</v>
      </c>
      <c r="HK21" s="58">
        <f t="shared" si="56"/>
        <v>0</v>
      </c>
      <c r="HL21" s="58">
        <f t="shared" si="56"/>
        <v>0</v>
      </c>
      <c r="HM21" s="58">
        <f t="shared" si="56"/>
        <v>0</v>
      </c>
      <c r="HN21" s="58">
        <f t="shared" si="56"/>
        <v>0</v>
      </c>
      <c r="HO21" s="58">
        <f t="shared" si="56"/>
        <v>0</v>
      </c>
      <c r="HP21" s="58">
        <f t="shared" si="56"/>
        <v>0</v>
      </c>
      <c r="HQ21" s="58">
        <f t="shared" si="56"/>
        <v>0</v>
      </c>
      <c r="HR21" s="58">
        <f t="shared" si="56"/>
        <v>0</v>
      </c>
      <c r="HS21" s="58">
        <f t="shared" si="56"/>
        <v>0</v>
      </c>
      <c r="HT21" s="58">
        <f t="shared" si="56"/>
        <v>0</v>
      </c>
      <c r="HU21" s="58">
        <f t="shared" si="56"/>
        <v>0</v>
      </c>
      <c r="HV21" s="58">
        <f t="shared" si="56"/>
        <v>0</v>
      </c>
      <c r="HW21" s="58">
        <f t="shared" si="56"/>
        <v>0</v>
      </c>
      <c r="HX21" s="58">
        <f t="shared" si="56"/>
        <v>0</v>
      </c>
      <c r="HY21" s="58">
        <f t="shared" si="56"/>
        <v>0</v>
      </c>
      <c r="HZ21" s="58">
        <f t="shared" si="56"/>
        <v>0</v>
      </c>
      <c r="IA21" s="58">
        <f t="shared" si="56"/>
        <v>0</v>
      </c>
      <c r="IB21" s="58">
        <f t="shared" si="56"/>
        <v>0</v>
      </c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</row>
    <row r="22" spans="1:251" ht="18" customHeight="1" x14ac:dyDescent="0.3">
      <c r="C22" s="93" t="s">
        <v>44</v>
      </c>
      <c r="D22" s="83" t="s">
        <v>58</v>
      </c>
      <c r="E22" s="329">
        <v>0.12</v>
      </c>
      <c r="F22" s="109"/>
      <c r="G22" s="121"/>
      <c r="H22" s="128"/>
      <c r="I22" s="118" t="s">
        <v>45</v>
      </c>
      <c r="J22" s="99">
        <f t="shared" ref="J22:P22" si="57">SUMIFS($U$12:$IB$12,$U$7:$IB$7,"="&amp;J$17)/Units</f>
        <v>36.689974323333352</v>
      </c>
      <c r="K22" s="99">
        <f t="shared" si="57"/>
        <v>0</v>
      </c>
      <c r="L22" s="99">
        <f t="shared" si="57"/>
        <v>0</v>
      </c>
      <c r="M22" s="99">
        <f t="shared" si="57"/>
        <v>0</v>
      </c>
      <c r="N22" s="99">
        <f t="shared" si="57"/>
        <v>0</v>
      </c>
      <c r="O22" s="99">
        <f t="shared" si="57"/>
        <v>0</v>
      </c>
      <c r="P22" s="99">
        <f t="shared" si="57"/>
        <v>0</v>
      </c>
      <c r="Q22" s="119" t="s">
        <v>39</v>
      </c>
      <c r="R22" s="99"/>
      <c r="S22" s="27"/>
      <c r="T22" s="129" t="s">
        <v>46</v>
      </c>
      <c r="U22" s="130"/>
      <c r="V22" s="131">
        <f>IF(AND(V6&lt;=$E$11,V7&gt;=$E$11),-SUM(V20:V21),IF(SUM(V20:V21)&lt;0,0,IF(V7&lt;=$E$10,0,IF(AND(V7&gt;=$E$10,V7&lt;=$E$11),(-(V20+V21)/(1+MONTH($E$11)-MONTH(V7)+(YEAR($E$11)-YEAR(V7))*12)),0))))</f>
        <v>0</v>
      </c>
      <c r="W22" s="131">
        <f t="shared" ref="W22:CH22" si="58">IF(AND(W6&lt;=$E$11,W7&gt;=$E$11),-SUM(W20:W21),IF(SUM(W20:W21)&lt;0,0,IF(W7&lt;=$E$10,0,IF(AND(W7&gt;=$E$10,W7&lt;=$E$11),(-(W20+W21)/(1+MONTH($E$11)-MONTH(W7)+(YEAR($E$11)-YEAR(W7))*12)),0))))</f>
        <v>0</v>
      </c>
      <c r="X22" s="131">
        <f t="shared" si="58"/>
        <v>0</v>
      </c>
      <c r="Y22" s="131">
        <f t="shared" si="58"/>
        <v>0</v>
      </c>
      <c r="Z22" s="131">
        <f t="shared" si="58"/>
        <v>0</v>
      </c>
      <c r="AA22" s="131">
        <f t="shared" si="58"/>
        <v>0</v>
      </c>
      <c r="AB22" s="131">
        <f t="shared" si="58"/>
        <v>0</v>
      </c>
      <c r="AC22" s="131">
        <f t="shared" si="58"/>
        <v>0</v>
      </c>
      <c r="AD22" s="131">
        <f t="shared" si="58"/>
        <v>0</v>
      </c>
      <c r="AE22" s="131">
        <f t="shared" si="58"/>
        <v>0</v>
      </c>
      <c r="AF22" s="131">
        <f t="shared" si="58"/>
        <v>0</v>
      </c>
      <c r="AG22" s="131">
        <f t="shared" si="58"/>
        <v>0</v>
      </c>
      <c r="AH22" s="131">
        <f t="shared" si="58"/>
        <v>0</v>
      </c>
      <c r="AI22" s="131">
        <f t="shared" si="58"/>
        <v>0</v>
      </c>
      <c r="AJ22" s="131">
        <f t="shared" si="58"/>
        <v>0</v>
      </c>
      <c r="AK22" s="131">
        <f t="shared" si="58"/>
        <v>0</v>
      </c>
      <c r="AL22" s="131">
        <f t="shared" si="58"/>
        <v>0</v>
      </c>
      <c r="AM22" s="131">
        <f t="shared" si="58"/>
        <v>0</v>
      </c>
      <c r="AN22" s="131">
        <f t="shared" si="58"/>
        <v>0</v>
      </c>
      <c r="AO22" s="131">
        <f t="shared" si="58"/>
        <v>0</v>
      </c>
      <c r="AP22" s="131">
        <f t="shared" si="58"/>
        <v>0</v>
      </c>
      <c r="AQ22" s="131">
        <f t="shared" si="58"/>
        <v>0</v>
      </c>
      <c r="AR22" s="131">
        <f t="shared" si="58"/>
        <v>0</v>
      </c>
      <c r="AS22" s="131">
        <f t="shared" si="58"/>
        <v>0</v>
      </c>
      <c r="AT22" s="131">
        <f t="shared" si="58"/>
        <v>0</v>
      </c>
      <c r="AU22" s="131">
        <f t="shared" si="58"/>
        <v>0</v>
      </c>
      <c r="AV22" s="131">
        <f t="shared" si="58"/>
        <v>0</v>
      </c>
      <c r="AW22" s="131">
        <f t="shared" si="58"/>
        <v>0</v>
      </c>
      <c r="AX22" s="131">
        <f t="shared" si="58"/>
        <v>0</v>
      </c>
      <c r="AY22" s="131">
        <f t="shared" si="58"/>
        <v>0</v>
      </c>
      <c r="AZ22" s="131">
        <f t="shared" si="58"/>
        <v>-1136881.8683363919</v>
      </c>
      <c r="BA22" s="131">
        <f t="shared" si="58"/>
        <v>-1183422.8451666855</v>
      </c>
      <c r="BB22" s="131">
        <f t="shared" si="58"/>
        <v>-1230203.3071097843</v>
      </c>
      <c r="BC22" s="131">
        <f t="shared" si="58"/>
        <v>-1277224.4864801592</v>
      </c>
      <c r="BD22" s="131">
        <f t="shared" si="58"/>
        <v>-1324487.6219333813</v>
      </c>
      <c r="BE22" s="131">
        <f t="shared" si="58"/>
        <v>-1371993.9584987501</v>
      </c>
      <c r="BF22" s="131">
        <f t="shared" si="58"/>
        <v>-1419744.7476120917</v>
      </c>
      <c r="BG22" s="131">
        <f t="shared" si="58"/>
        <v>-1467741.2471487238</v>
      </c>
      <c r="BH22" s="131">
        <f t="shared" si="58"/>
        <v>-1515984.7214565922</v>
      </c>
      <c r="BI22" s="131">
        <f t="shared" si="58"/>
        <v>-1564476.4413895763</v>
      </c>
      <c r="BJ22" s="131">
        <f t="shared" si="58"/>
        <v>-1613217.6843409664</v>
      </c>
      <c r="BK22" s="131">
        <f t="shared" si="58"/>
        <v>-1662209.7342771138</v>
      </c>
      <c r="BL22" s="131">
        <f t="shared" si="58"/>
        <v>-1711453.8817712534</v>
      </c>
      <c r="BM22" s="131">
        <f t="shared" si="58"/>
        <v>-1760951.4240375019</v>
      </c>
      <c r="BN22" s="131">
        <f t="shared" si="58"/>
        <v>-1810703.6649650272</v>
      </c>
      <c r="BO22" s="131">
        <f t="shared" si="58"/>
        <v>-1860711.9151523979</v>
      </c>
      <c r="BP22" s="131">
        <f t="shared" si="58"/>
        <v>-1910977.4919421084</v>
      </c>
      <c r="BQ22" s="131">
        <f t="shared" si="58"/>
        <v>-1961501.7194552789</v>
      </c>
      <c r="BR22" s="131">
        <f t="shared" si="58"/>
        <v>-2012285.9286265371</v>
      </c>
      <c r="BS22" s="131">
        <f t="shared" si="58"/>
        <v>-2063331.4572390788</v>
      </c>
      <c r="BT22" s="131">
        <f t="shared" si="58"/>
        <v>-2114639.6499599083</v>
      </c>
      <c r="BU22" s="131">
        <f t="shared" si="58"/>
        <v>-2166211.8583752592</v>
      </c>
      <c r="BV22" s="131">
        <f t="shared" si="58"/>
        <v>-2218049.4410262005</v>
      </c>
      <c r="BW22" s="131">
        <f t="shared" si="58"/>
        <v>-2342767.537202816</v>
      </c>
      <c r="BX22" s="131">
        <f t="shared" si="58"/>
        <v>0</v>
      </c>
      <c r="BY22" s="131">
        <f t="shared" si="58"/>
        <v>0</v>
      </c>
      <c r="BZ22" s="131">
        <f t="shared" si="58"/>
        <v>0</v>
      </c>
      <c r="CA22" s="131">
        <f t="shared" si="58"/>
        <v>0</v>
      </c>
      <c r="CB22" s="131">
        <f t="shared" si="58"/>
        <v>0</v>
      </c>
      <c r="CC22" s="131">
        <f t="shared" si="58"/>
        <v>0</v>
      </c>
      <c r="CD22" s="131">
        <f t="shared" si="58"/>
        <v>0</v>
      </c>
      <c r="CE22" s="131">
        <f t="shared" si="58"/>
        <v>0</v>
      </c>
      <c r="CF22" s="131">
        <f t="shared" si="58"/>
        <v>0</v>
      </c>
      <c r="CG22" s="131">
        <f t="shared" si="58"/>
        <v>0</v>
      </c>
      <c r="CH22" s="131">
        <f t="shared" si="58"/>
        <v>0</v>
      </c>
      <c r="CI22" s="131">
        <f t="shared" ref="CI22:ET22" si="59">IF(AND(CI6&lt;=$E$11,CI7&gt;=$E$11),-SUM(CI20:CI21),IF(SUM(CI20:CI21)&lt;0,0,IF(CI7&lt;=$E$10,0,IF(AND(CI7&gt;=$E$10,CI7&lt;=$E$11),(-(CI20+CI21)/(1+MONTH($E$11)-MONTH(CI7)+(YEAR($E$11)-YEAR(CI7))*12)),0))))</f>
        <v>0</v>
      </c>
      <c r="CJ22" s="131">
        <f t="shared" si="59"/>
        <v>0</v>
      </c>
      <c r="CK22" s="131">
        <f t="shared" si="59"/>
        <v>0</v>
      </c>
      <c r="CL22" s="131">
        <f t="shared" si="59"/>
        <v>0</v>
      </c>
      <c r="CM22" s="131">
        <f t="shared" si="59"/>
        <v>0</v>
      </c>
      <c r="CN22" s="131">
        <f t="shared" si="59"/>
        <v>0</v>
      </c>
      <c r="CO22" s="131">
        <f t="shared" si="59"/>
        <v>0</v>
      </c>
      <c r="CP22" s="131">
        <f t="shared" si="59"/>
        <v>0</v>
      </c>
      <c r="CQ22" s="131">
        <f t="shared" si="59"/>
        <v>0</v>
      </c>
      <c r="CR22" s="131">
        <f t="shared" si="59"/>
        <v>0</v>
      </c>
      <c r="CS22" s="131">
        <f t="shared" si="59"/>
        <v>0</v>
      </c>
      <c r="CT22" s="131">
        <f t="shared" si="59"/>
        <v>0</v>
      </c>
      <c r="CU22" s="131">
        <f t="shared" si="59"/>
        <v>0</v>
      </c>
      <c r="CV22" s="131">
        <f t="shared" si="59"/>
        <v>0</v>
      </c>
      <c r="CW22" s="131">
        <f t="shared" si="59"/>
        <v>0</v>
      </c>
      <c r="CX22" s="131">
        <f t="shared" si="59"/>
        <v>0</v>
      </c>
      <c r="CY22" s="131">
        <f t="shared" si="59"/>
        <v>0</v>
      </c>
      <c r="CZ22" s="131">
        <f t="shared" si="59"/>
        <v>0</v>
      </c>
      <c r="DA22" s="131">
        <f t="shared" si="59"/>
        <v>0</v>
      </c>
      <c r="DB22" s="131">
        <f t="shared" si="59"/>
        <v>0</v>
      </c>
      <c r="DC22" s="131">
        <f t="shared" si="59"/>
        <v>0</v>
      </c>
      <c r="DD22" s="131">
        <f t="shared" si="59"/>
        <v>0</v>
      </c>
      <c r="DE22" s="131">
        <f t="shared" si="59"/>
        <v>0</v>
      </c>
      <c r="DF22" s="131">
        <f t="shared" si="59"/>
        <v>0</v>
      </c>
      <c r="DG22" s="131">
        <f t="shared" si="59"/>
        <v>0</v>
      </c>
      <c r="DH22" s="131">
        <f t="shared" si="59"/>
        <v>0</v>
      </c>
      <c r="DI22" s="131">
        <f t="shared" si="59"/>
        <v>0</v>
      </c>
      <c r="DJ22" s="131">
        <f t="shared" si="59"/>
        <v>0</v>
      </c>
      <c r="DK22" s="131">
        <f t="shared" si="59"/>
        <v>0</v>
      </c>
      <c r="DL22" s="131">
        <f t="shared" si="59"/>
        <v>0</v>
      </c>
      <c r="DM22" s="131">
        <f t="shared" si="59"/>
        <v>0</v>
      </c>
      <c r="DN22" s="131">
        <f t="shared" si="59"/>
        <v>0</v>
      </c>
      <c r="DO22" s="131">
        <f t="shared" si="59"/>
        <v>0</v>
      </c>
      <c r="DP22" s="131">
        <f t="shared" si="59"/>
        <v>0</v>
      </c>
      <c r="DQ22" s="131">
        <f t="shared" si="59"/>
        <v>0</v>
      </c>
      <c r="DR22" s="131">
        <f t="shared" si="59"/>
        <v>0</v>
      </c>
      <c r="DS22" s="131">
        <f t="shared" si="59"/>
        <v>0</v>
      </c>
      <c r="DT22" s="131">
        <f t="shared" si="59"/>
        <v>0</v>
      </c>
      <c r="DU22" s="131">
        <f t="shared" si="59"/>
        <v>0</v>
      </c>
      <c r="DV22" s="131">
        <f t="shared" si="59"/>
        <v>0</v>
      </c>
      <c r="DW22" s="131">
        <f t="shared" si="59"/>
        <v>0</v>
      </c>
      <c r="DX22" s="131">
        <f t="shared" si="59"/>
        <v>0</v>
      </c>
      <c r="DY22" s="131">
        <f t="shared" si="59"/>
        <v>0</v>
      </c>
      <c r="DZ22" s="131">
        <f t="shared" si="59"/>
        <v>0</v>
      </c>
      <c r="EA22" s="131">
        <f t="shared" si="59"/>
        <v>0</v>
      </c>
      <c r="EB22" s="131">
        <f t="shared" si="59"/>
        <v>0</v>
      </c>
      <c r="EC22" s="131">
        <f t="shared" si="59"/>
        <v>0</v>
      </c>
      <c r="ED22" s="131">
        <f t="shared" si="59"/>
        <v>0</v>
      </c>
      <c r="EE22" s="131">
        <f t="shared" si="59"/>
        <v>0</v>
      </c>
      <c r="EF22" s="131">
        <f t="shared" si="59"/>
        <v>0</v>
      </c>
      <c r="EG22" s="131">
        <f t="shared" si="59"/>
        <v>0</v>
      </c>
      <c r="EH22" s="131">
        <f t="shared" si="59"/>
        <v>0</v>
      </c>
      <c r="EI22" s="131">
        <f t="shared" si="59"/>
        <v>0</v>
      </c>
      <c r="EJ22" s="131">
        <f t="shared" si="59"/>
        <v>0</v>
      </c>
      <c r="EK22" s="131">
        <f t="shared" si="59"/>
        <v>0</v>
      </c>
      <c r="EL22" s="131">
        <f t="shared" si="59"/>
        <v>0</v>
      </c>
      <c r="EM22" s="131">
        <f t="shared" si="59"/>
        <v>0</v>
      </c>
      <c r="EN22" s="131">
        <f t="shared" si="59"/>
        <v>0</v>
      </c>
      <c r="EO22" s="131">
        <f t="shared" si="59"/>
        <v>0</v>
      </c>
      <c r="EP22" s="131">
        <f t="shared" si="59"/>
        <v>0</v>
      </c>
      <c r="EQ22" s="131">
        <f t="shared" si="59"/>
        <v>0</v>
      </c>
      <c r="ER22" s="131">
        <f t="shared" si="59"/>
        <v>0</v>
      </c>
      <c r="ES22" s="131">
        <f t="shared" si="59"/>
        <v>0</v>
      </c>
      <c r="ET22" s="131">
        <f t="shared" si="59"/>
        <v>0</v>
      </c>
      <c r="EU22" s="131">
        <f t="shared" ref="EU22:HF22" si="60">IF(AND(EU6&lt;=$E$11,EU7&gt;=$E$11),-SUM(EU20:EU21),IF(SUM(EU20:EU21)&lt;0,0,IF(EU7&lt;=$E$10,0,IF(AND(EU7&gt;=$E$10,EU7&lt;=$E$11),(-(EU20+EU21)/(1+MONTH($E$11)-MONTH(EU7)+(YEAR($E$11)-YEAR(EU7))*12)),0))))</f>
        <v>0</v>
      </c>
      <c r="EV22" s="131">
        <f t="shared" si="60"/>
        <v>0</v>
      </c>
      <c r="EW22" s="131">
        <f t="shared" si="60"/>
        <v>0</v>
      </c>
      <c r="EX22" s="131">
        <f t="shared" si="60"/>
        <v>0</v>
      </c>
      <c r="EY22" s="131">
        <f t="shared" si="60"/>
        <v>0</v>
      </c>
      <c r="EZ22" s="131">
        <f t="shared" si="60"/>
        <v>0</v>
      </c>
      <c r="FA22" s="131">
        <f t="shared" si="60"/>
        <v>0</v>
      </c>
      <c r="FB22" s="131">
        <f t="shared" si="60"/>
        <v>0</v>
      </c>
      <c r="FC22" s="131">
        <f t="shared" si="60"/>
        <v>0</v>
      </c>
      <c r="FD22" s="131">
        <f t="shared" si="60"/>
        <v>0</v>
      </c>
      <c r="FE22" s="131">
        <f t="shared" si="60"/>
        <v>0</v>
      </c>
      <c r="FF22" s="131">
        <f t="shared" si="60"/>
        <v>0</v>
      </c>
      <c r="FG22" s="131">
        <f t="shared" si="60"/>
        <v>0</v>
      </c>
      <c r="FH22" s="131">
        <f t="shared" si="60"/>
        <v>0</v>
      </c>
      <c r="FI22" s="131">
        <f t="shared" si="60"/>
        <v>0</v>
      </c>
      <c r="FJ22" s="131">
        <f t="shared" si="60"/>
        <v>0</v>
      </c>
      <c r="FK22" s="131">
        <f t="shared" si="60"/>
        <v>0</v>
      </c>
      <c r="FL22" s="131">
        <f t="shared" si="60"/>
        <v>0</v>
      </c>
      <c r="FM22" s="131">
        <f t="shared" si="60"/>
        <v>0</v>
      </c>
      <c r="FN22" s="131">
        <f t="shared" si="60"/>
        <v>0</v>
      </c>
      <c r="FO22" s="131">
        <f t="shared" si="60"/>
        <v>0</v>
      </c>
      <c r="FP22" s="131">
        <f t="shared" si="60"/>
        <v>0</v>
      </c>
      <c r="FQ22" s="131">
        <f t="shared" si="60"/>
        <v>0</v>
      </c>
      <c r="FR22" s="131">
        <f t="shared" si="60"/>
        <v>0</v>
      </c>
      <c r="FS22" s="131">
        <f t="shared" si="60"/>
        <v>0</v>
      </c>
      <c r="FT22" s="131">
        <f t="shared" si="60"/>
        <v>0</v>
      </c>
      <c r="FU22" s="131">
        <f t="shared" si="60"/>
        <v>0</v>
      </c>
      <c r="FV22" s="131">
        <f t="shared" si="60"/>
        <v>0</v>
      </c>
      <c r="FW22" s="131">
        <f t="shared" si="60"/>
        <v>0</v>
      </c>
      <c r="FX22" s="131">
        <f t="shared" si="60"/>
        <v>0</v>
      </c>
      <c r="FY22" s="131">
        <f t="shared" si="60"/>
        <v>0</v>
      </c>
      <c r="FZ22" s="131">
        <f t="shared" si="60"/>
        <v>0</v>
      </c>
      <c r="GA22" s="131">
        <f t="shared" si="60"/>
        <v>0</v>
      </c>
      <c r="GB22" s="131">
        <f t="shared" si="60"/>
        <v>0</v>
      </c>
      <c r="GC22" s="131">
        <f t="shared" si="60"/>
        <v>0</v>
      </c>
      <c r="GD22" s="131">
        <f t="shared" si="60"/>
        <v>0</v>
      </c>
      <c r="GE22" s="131">
        <f t="shared" si="60"/>
        <v>0</v>
      </c>
      <c r="GF22" s="131">
        <f t="shared" si="60"/>
        <v>0</v>
      </c>
      <c r="GG22" s="131">
        <f t="shared" si="60"/>
        <v>0</v>
      </c>
      <c r="GH22" s="131">
        <f t="shared" si="60"/>
        <v>0</v>
      </c>
      <c r="GI22" s="131">
        <f t="shared" si="60"/>
        <v>0</v>
      </c>
      <c r="GJ22" s="131">
        <f t="shared" si="60"/>
        <v>0</v>
      </c>
      <c r="GK22" s="131">
        <f t="shared" si="60"/>
        <v>0</v>
      </c>
      <c r="GL22" s="131">
        <f t="shared" si="60"/>
        <v>0</v>
      </c>
      <c r="GM22" s="131">
        <f t="shared" si="60"/>
        <v>0</v>
      </c>
      <c r="GN22" s="131">
        <f t="shared" si="60"/>
        <v>0</v>
      </c>
      <c r="GO22" s="131">
        <f t="shared" si="60"/>
        <v>0</v>
      </c>
      <c r="GP22" s="131">
        <f t="shared" si="60"/>
        <v>0</v>
      </c>
      <c r="GQ22" s="131">
        <f t="shared" si="60"/>
        <v>0</v>
      </c>
      <c r="GR22" s="131">
        <f t="shared" si="60"/>
        <v>0</v>
      </c>
      <c r="GS22" s="131">
        <f t="shared" si="60"/>
        <v>0</v>
      </c>
      <c r="GT22" s="131">
        <f t="shared" si="60"/>
        <v>0</v>
      </c>
      <c r="GU22" s="131">
        <f t="shared" si="60"/>
        <v>0</v>
      </c>
      <c r="GV22" s="131">
        <f t="shared" si="60"/>
        <v>0</v>
      </c>
      <c r="GW22" s="131">
        <f t="shared" si="60"/>
        <v>0</v>
      </c>
      <c r="GX22" s="131">
        <f t="shared" si="60"/>
        <v>0</v>
      </c>
      <c r="GY22" s="131">
        <f t="shared" si="60"/>
        <v>0</v>
      </c>
      <c r="GZ22" s="131">
        <f t="shared" si="60"/>
        <v>0</v>
      </c>
      <c r="HA22" s="131">
        <f t="shared" si="60"/>
        <v>0</v>
      </c>
      <c r="HB22" s="131">
        <f t="shared" si="60"/>
        <v>0</v>
      </c>
      <c r="HC22" s="131">
        <f t="shared" si="60"/>
        <v>0</v>
      </c>
      <c r="HD22" s="131">
        <f t="shared" si="60"/>
        <v>0</v>
      </c>
      <c r="HE22" s="131">
        <f t="shared" si="60"/>
        <v>0</v>
      </c>
      <c r="HF22" s="131">
        <f t="shared" si="60"/>
        <v>0</v>
      </c>
      <c r="HG22" s="131">
        <f t="shared" ref="HG22:IB22" si="61">IF(AND(HG6&lt;=$E$11,HG7&gt;=$E$11),-SUM(HG20:HG21),IF(SUM(HG20:HG21)&lt;0,0,IF(HG7&lt;=$E$10,0,IF(AND(HG7&gt;=$E$10,HG7&lt;=$E$11),(-(HG20+HG21)/(1+MONTH($E$11)-MONTH(HG7)+(YEAR($E$11)-YEAR(HG7))*12)),0))))</f>
        <v>0</v>
      </c>
      <c r="HH22" s="131">
        <f t="shared" si="61"/>
        <v>0</v>
      </c>
      <c r="HI22" s="131">
        <f t="shared" si="61"/>
        <v>0</v>
      </c>
      <c r="HJ22" s="131">
        <f t="shared" si="61"/>
        <v>0</v>
      </c>
      <c r="HK22" s="131">
        <f t="shared" si="61"/>
        <v>0</v>
      </c>
      <c r="HL22" s="131">
        <f t="shared" si="61"/>
        <v>0</v>
      </c>
      <c r="HM22" s="131">
        <f t="shared" si="61"/>
        <v>0</v>
      </c>
      <c r="HN22" s="131">
        <f t="shared" si="61"/>
        <v>0</v>
      </c>
      <c r="HO22" s="131">
        <f t="shared" si="61"/>
        <v>0</v>
      </c>
      <c r="HP22" s="131">
        <f t="shared" si="61"/>
        <v>0</v>
      </c>
      <c r="HQ22" s="131">
        <f t="shared" si="61"/>
        <v>0</v>
      </c>
      <c r="HR22" s="131">
        <f t="shared" si="61"/>
        <v>0</v>
      </c>
      <c r="HS22" s="131">
        <f t="shared" si="61"/>
        <v>0</v>
      </c>
      <c r="HT22" s="131">
        <f t="shared" si="61"/>
        <v>0</v>
      </c>
      <c r="HU22" s="131">
        <f t="shared" si="61"/>
        <v>0</v>
      </c>
      <c r="HV22" s="131">
        <f t="shared" si="61"/>
        <v>0</v>
      </c>
      <c r="HW22" s="131">
        <f t="shared" si="61"/>
        <v>0</v>
      </c>
      <c r="HX22" s="131">
        <f t="shared" si="61"/>
        <v>0</v>
      </c>
      <c r="HY22" s="131">
        <f t="shared" si="61"/>
        <v>0</v>
      </c>
      <c r="HZ22" s="131">
        <f t="shared" si="61"/>
        <v>0</v>
      </c>
      <c r="IA22" s="131">
        <f t="shared" si="61"/>
        <v>0</v>
      </c>
      <c r="IB22" s="131">
        <f t="shared" si="61"/>
        <v>0</v>
      </c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</row>
    <row r="23" spans="1:251" ht="18" customHeight="1" x14ac:dyDescent="0.3">
      <c r="C23" s="21"/>
      <c r="D23" s="83" t="s">
        <v>135</v>
      </c>
      <c r="E23" s="329">
        <v>0.08</v>
      </c>
      <c r="F23" s="109"/>
      <c r="G23" s="121"/>
      <c r="H23" s="123"/>
      <c r="I23" s="25"/>
      <c r="J23" s="25"/>
      <c r="K23" s="25"/>
      <c r="L23" s="25"/>
      <c r="M23" s="25"/>
      <c r="N23" s="25"/>
      <c r="O23" s="25"/>
      <c r="P23" s="25"/>
      <c r="Q23" s="132"/>
      <c r="R23" s="123"/>
      <c r="S23" s="58"/>
      <c r="T23" s="34" t="s">
        <v>47</v>
      </c>
      <c r="U23" s="58">
        <f>U25-U17</f>
        <v>0</v>
      </c>
      <c r="V23" s="58">
        <f>SUM(V20:V22)</f>
        <v>470736.16265199706</v>
      </c>
      <c r="W23" s="58">
        <f t="shared" ref="W23:CH23" si="62">SUM(W20:W22)</f>
        <v>971997.16618457809</v>
      </c>
      <c r="X23" s="58">
        <f t="shared" si="62"/>
        <v>1503940.0817522295</v>
      </c>
      <c r="Y23" s="58">
        <f t="shared" si="62"/>
        <v>2066722.7887478047</v>
      </c>
      <c r="Z23" s="58">
        <f t="shared" si="62"/>
        <v>2660503.978961464</v>
      </c>
      <c r="AA23" s="58">
        <f t="shared" si="62"/>
        <v>3285443.1607610122</v>
      </c>
      <c r="AB23" s="58">
        <f t="shared" si="62"/>
        <v>3941700.66329375</v>
      </c>
      <c r="AC23" s="58">
        <f t="shared" si="62"/>
        <v>4629437.6407099431</v>
      </c>
      <c r="AD23" s="58">
        <f t="shared" si="62"/>
        <v>5348816.0764080286</v>
      </c>
      <c r="AE23" s="58">
        <f t="shared" si="62"/>
        <v>6099998.7873016596</v>
      </c>
      <c r="AF23" s="58">
        <f t="shared" si="62"/>
        <v>6883149.4281087136</v>
      </c>
      <c r="AG23" s="58">
        <f t="shared" si="62"/>
        <v>7698432.4956623651</v>
      </c>
      <c r="AH23" s="58">
        <f t="shared" si="62"/>
        <v>8546013.3332443461</v>
      </c>
      <c r="AI23" s="58">
        <f t="shared" si="62"/>
        <v>9426058.1349404994</v>
      </c>
      <c r="AJ23" s="58">
        <f t="shared" si="62"/>
        <v>10338733.950018751</v>
      </c>
      <c r="AK23" s="58">
        <f t="shared" si="62"/>
        <v>11284208.6873296</v>
      </c>
      <c r="AL23" s="58">
        <f t="shared" si="62"/>
        <v>12262651.119729262</v>
      </c>
      <c r="AM23" s="58">
        <f t="shared" si="62"/>
        <v>13274230.88852557</v>
      </c>
      <c r="AN23" s="58">
        <f t="shared" si="62"/>
        <v>14319118.507946748</v>
      </c>
      <c r="AO23" s="58">
        <f t="shared" si="62"/>
        <v>15369382.787817448</v>
      </c>
      <c r="AP23" s="58">
        <f t="shared" si="62"/>
        <v>16425051.394727888</v>
      </c>
      <c r="AQ23" s="58">
        <f t="shared" si="62"/>
        <v>17486152.137631785</v>
      </c>
      <c r="AR23" s="58">
        <f t="shared" si="62"/>
        <v>18552712.96857892</v>
      </c>
      <c r="AS23" s="58">
        <f t="shared" si="62"/>
        <v>19624761.98345146</v>
      </c>
      <c r="AT23" s="58">
        <f t="shared" si="62"/>
        <v>20702327.422704075</v>
      </c>
      <c r="AU23" s="58">
        <f t="shared" si="62"/>
        <v>21785437.672107864</v>
      </c>
      <c r="AV23" s="58">
        <f t="shared" si="62"/>
        <v>22874121.263498101</v>
      </c>
      <c r="AW23" s="58">
        <f t="shared" si="62"/>
        <v>23968406.875525843</v>
      </c>
      <c r="AX23" s="58">
        <f t="shared" si="62"/>
        <v>25068323.334413394</v>
      </c>
      <c r="AY23" s="58">
        <f t="shared" si="62"/>
        <v>26173899.614713658</v>
      </c>
      <c r="AZ23" s="58">
        <f t="shared" si="62"/>
        <v>26148282.971737012</v>
      </c>
      <c r="BA23" s="58">
        <f t="shared" si="62"/>
        <v>26035302.593667082</v>
      </c>
      <c r="BB23" s="58">
        <f t="shared" si="62"/>
        <v>25834269.449305471</v>
      </c>
      <c r="BC23" s="58">
        <f t="shared" si="62"/>
        <v>25544489.729603186</v>
      </c>
      <c r="BD23" s="58">
        <f t="shared" si="62"/>
        <v>25165264.816734243</v>
      </c>
      <c r="BE23" s="58">
        <f t="shared" si="62"/>
        <v>24695891.252977502</v>
      </c>
      <c r="BF23" s="58">
        <f t="shared" si="62"/>
        <v>24135660.709405556</v>
      </c>
      <c r="BG23" s="58">
        <f t="shared" si="62"/>
        <v>23483859.954379581</v>
      </c>
      <c r="BH23" s="58">
        <f t="shared" si="62"/>
        <v>22739770.821848884</v>
      </c>
      <c r="BI23" s="58">
        <f t="shared" si="62"/>
        <v>21902670.17945407</v>
      </c>
      <c r="BJ23" s="58">
        <f t="shared" si="62"/>
        <v>20971829.896432564</v>
      </c>
      <c r="BK23" s="58">
        <f t="shared" si="62"/>
        <v>19946516.811325364</v>
      </c>
      <c r="BL23" s="58">
        <f t="shared" si="62"/>
        <v>18825992.69948379</v>
      </c>
      <c r="BM23" s="58">
        <f t="shared" si="62"/>
        <v>17609514.24037502</v>
      </c>
      <c r="BN23" s="58">
        <f t="shared" si="62"/>
        <v>16296332.984685244</v>
      </c>
      <c r="BO23" s="58">
        <f t="shared" si="62"/>
        <v>14885695.321219184</v>
      </c>
      <c r="BP23" s="58">
        <f t="shared" si="62"/>
        <v>13376842.443594759</v>
      </c>
      <c r="BQ23" s="58">
        <f t="shared" si="62"/>
        <v>11769010.316731673</v>
      </c>
      <c r="BR23" s="58">
        <f t="shared" si="62"/>
        <v>10061429.643132685</v>
      </c>
      <c r="BS23" s="58">
        <f t="shared" si="62"/>
        <v>8253325.8289563153</v>
      </c>
      <c r="BT23" s="58">
        <f t="shared" si="62"/>
        <v>6343918.9498797245</v>
      </c>
      <c r="BU23" s="58">
        <f t="shared" si="62"/>
        <v>4332423.7167505194</v>
      </c>
      <c r="BV23" s="58">
        <f t="shared" si="62"/>
        <v>2218049.4410262005</v>
      </c>
      <c r="BW23" s="58">
        <f t="shared" si="62"/>
        <v>0</v>
      </c>
      <c r="BX23" s="58">
        <f t="shared" si="62"/>
        <v>0</v>
      </c>
      <c r="BY23" s="58">
        <f t="shared" si="62"/>
        <v>0</v>
      </c>
      <c r="BZ23" s="58">
        <f t="shared" si="62"/>
        <v>0</v>
      </c>
      <c r="CA23" s="58">
        <f t="shared" si="62"/>
        <v>0</v>
      </c>
      <c r="CB23" s="58">
        <f t="shared" si="62"/>
        <v>0</v>
      </c>
      <c r="CC23" s="58">
        <f t="shared" si="62"/>
        <v>0</v>
      </c>
      <c r="CD23" s="58">
        <f t="shared" si="62"/>
        <v>0</v>
      </c>
      <c r="CE23" s="58">
        <f t="shared" si="62"/>
        <v>0</v>
      </c>
      <c r="CF23" s="58">
        <f t="shared" si="62"/>
        <v>0</v>
      </c>
      <c r="CG23" s="58">
        <f t="shared" si="62"/>
        <v>0</v>
      </c>
      <c r="CH23" s="58">
        <f t="shared" si="62"/>
        <v>0</v>
      </c>
      <c r="CI23" s="58">
        <f t="shared" ref="CI23:ET23" si="63">SUM(CI20:CI22)</f>
        <v>0</v>
      </c>
      <c r="CJ23" s="58">
        <f t="shared" si="63"/>
        <v>0</v>
      </c>
      <c r="CK23" s="58">
        <f t="shared" si="63"/>
        <v>0</v>
      </c>
      <c r="CL23" s="58">
        <f t="shared" si="63"/>
        <v>0</v>
      </c>
      <c r="CM23" s="58">
        <f t="shared" si="63"/>
        <v>0</v>
      </c>
      <c r="CN23" s="58">
        <f t="shared" si="63"/>
        <v>0</v>
      </c>
      <c r="CO23" s="58">
        <f t="shared" si="63"/>
        <v>0</v>
      </c>
      <c r="CP23" s="58">
        <f t="shared" si="63"/>
        <v>0</v>
      </c>
      <c r="CQ23" s="58">
        <f t="shared" si="63"/>
        <v>0</v>
      </c>
      <c r="CR23" s="58">
        <f t="shared" si="63"/>
        <v>0</v>
      </c>
      <c r="CS23" s="58">
        <f t="shared" si="63"/>
        <v>0</v>
      </c>
      <c r="CT23" s="58">
        <f t="shared" si="63"/>
        <v>0</v>
      </c>
      <c r="CU23" s="58">
        <f t="shared" si="63"/>
        <v>0</v>
      </c>
      <c r="CV23" s="58">
        <f t="shared" si="63"/>
        <v>0</v>
      </c>
      <c r="CW23" s="58">
        <f t="shared" si="63"/>
        <v>0</v>
      </c>
      <c r="CX23" s="58">
        <f t="shared" si="63"/>
        <v>0</v>
      </c>
      <c r="CY23" s="58">
        <f t="shared" si="63"/>
        <v>0</v>
      </c>
      <c r="CZ23" s="58">
        <f t="shared" si="63"/>
        <v>0</v>
      </c>
      <c r="DA23" s="58">
        <f t="shared" si="63"/>
        <v>0</v>
      </c>
      <c r="DB23" s="58">
        <f t="shared" si="63"/>
        <v>0</v>
      </c>
      <c r="DC23" s="58">
        <f t="shared" si="63"/>
        <v>0</v>
      </c>
      <c r="DD23" s="58">
        <f t="shared" si="63"/>
        <v>0</v>
      </c>
      <c r="DE23" s="58">
        <f t="shared" si="63"/>
        <v>0</v>
      </c>
      <c r="DF23" s="58">
        <f t="shared" si="63"/>
        <v>0</v>
      </c>
      <c r="DG23" s="58">
        <f t="shared" si="63"/>
        <v>0</v>
      </c>
      <c r="DH23" s="58">
        <f t="shared" si="63"/>
        <v>0</v>
      </c>
      <c r="DI23" s="58">
        <f t="shared" si="63"/>
        <v>0</v>
      </c>
      <c r="DJ23" s="58">
        <f t="shared" si="63"/>
        <v>0</v>
      </c>
      <c r="DK23" s="58">
        <f t="shared" si="63"/>
        <v>0</v>
      </c>
      <c r="DL23" s="58">
        <f t="shared" si="63"/>
        <v>0</v>
      </c>
      <c r="DM23" s="58">
        <f t="shared" si="63"/>
        <v>0</v>
      </c>
      <c r="DN23" s="58">
        <f t="shared" si="63"/>
        <v>0</v>
      </c>
      <c r="DO23" s="58">
        <f t="shared" si="63"/>
        <v>0</v>
      </c>
      <c r="DP23" s="58">
        <f t="shared" si="63"/>
        <v>0</v>
      </c>
      <c r="DQ23" s="58">
        <f t="shared" si="63"/>
        <v>0</v>
      </c>
      <c r="DR23" s="58">
        <f t="shared" si="63"/>
        <v>0</v>
      </c>
      <c r="DS23" s="58">
        <f t="shared" si="63"/>
        <v>0</v>
      </c>
      <c r="DT23" s="58">
        <f t="shared" si="63"/>
        <v>0</v>
      </c>
      <c r="DU23" s="58">
        <f t="shared" si="63"/>
        <v>0</v>
      </c>
      <c r="DV23" s="58">
        <f t="shared" si="63"/>
        <v>0</v>
      </c>
      <c r="DW23" s="58">
        <f t="shared" si="63"/>
        <v>0</v>
      </c>
      <c r="DX23" s="58">
        <f t="shared" si="63"/>
        <v>0</v>
      </c>
      <c r="DY23" s="58">
        <f t="shared" si="63"/>
        <v>0</v>
      </c>
      <c r="DZ23" s="58">
        <f t="shared" si="63"/>
        <v>0</v>
      </c>
      <c r="EA23" s="58">
        <f t="shared" si="63"/>
        <v>0</v>
      </c>
      <c r="EB23" s="58">
        <f t="shared" si="63"/>
        <v>0</v>
      </c>
      <c r="EC23" s="58">
        <f t="shared" si="63"/>
        <v>0</v>
      </c>
      <c r="ED23" s="58">
        <f t="shared" si="63"/>
        <v>0</v>
      </c>
      <c r="EE23" s="58">
        <f t="shared" si="63"/>
        <v>0</v>
      </c>
      <c r="EF23" s="58">
        <f t="shared" si="63"/>
        <v>0</v>
      </c>
      <c r="EG23" s="58">
        <f t="shared" si="63"/>
        <v>0</v>
      </c>
      <c r="EH23" s="58">
        <f t="shared" si="63"/>
        <v>0</v>
      </c>
      <c r="EI23" s="58">
        <f t="shared" si="63"/>
        <v>0</v>
      </c>
      <c r="EJ23" s="58">
        <f t="shared" si="63"/>
        <v>0</v>
      </c>
      <c r="EK23" s="58">
        <f t="shared" si="63"/>
        <v>0</v>
      </c>
      <c r="EL23" s="58">
        <f t="shared" si="63"/>
        <v>0</v>
      </c>
      <c r="EM23" s="58">
        <f t="shared" si="63"/>
        <v>0</v>
      </c>
      <c r="EN23" s="58">
        <f t="shared" si="63"/>
        <v>0</v>
      </c>
      <c r="EO23" s="58">
        <f t="shared" si="63"/>
        <v>0</v>
      </c>
      <c r="EP23" s="58">
        <f t="shared" si="63"/>
        <v>0</v>
      </c>
      <c r="EQ23" s="58">
        <f t="shared" si="63"/>
        <v>0</v>
      </c>
      <c r="ER23" s="58">
        <f t="shared" si="63"/>
        <v>0</v>
      </c>
      <c r="ES23" s="58">
        <f t="shared" si="63"/>
        <v>0</v>
      </c>
      <c r="ET23" s="58">
        <f t="shared" si="63"/>
        <v>0</v>
      </c>
      <c r="EU23" s="58">
        <f t="shared" ref="EU23:HF23" si="64">SUM(EU20:EU22)</f>
        <v>0</v>
      </c>
      <c r="EV23" s="58">
        <f t="shared" si="64"/>
        <v>0</v>
      </c>
      <c r="EW23" s="58">
        <f t="shared" si="64"/>
        <v>0</v>
      </c>
      <c r="EX23" s="58">
        <f t="shared" si="64"/>
        <v>0</v>
      </c>
      <c r="EY23" s="58">
        <f t="shared" si="64"/>
        <v>0</v>
      </c>
      <c r="EZ23" s="58">
        <f t="shared" si="64"/>
        <v>0</v>
      </c>
      <c r="FA23" s="58">
        <f t="shared" si="64"/>
        <v>0</v>
      </c>
      <c r="FB23" s="58">
        <f t="shared" si="64"/>
        <v>0</v>
      </c>
      <c r="FC23" s="58">
        <f t="shared" si="64"/>
        <v>0</v>
      </c>
      <c r="FD23" s="58">
        <f t="shared" si="64"/>
        <v>0</v>
      </c>
      <c r="FE23" s="58">
        <f t="shared" si="64"/>
        <v>0</v>
      </c>
      <c r="FF23" s="58">
        <f t="shared" si="64"/>
        <v>0</v>
      </c>
      <c r="FG23" s="58">
        <f t="shared" si="64"/>
        <v>0</v>
      </c>
      <c r="FH23" s="58">
        <f t="shared" si="64"/>
        <v>0</v>
      </c>
      <c r="FI23" s="58">
        <f t="shared" si="64"/>
        <v>0</v>
      </c>
      <c r="FJ23" s="58">
        <f t="shared" si="64"/>
        <v>0</v>
      </c>
      <c r="FK23" s="58">
        <f t="shared" si="64"/>
        <v>0</v>
      </c>
      <c r="FL23" s="58">
        <f t="shared" si="64"/>
        <v>0</v>
      </c>
      <c r="FM23" s="58">
        <f t="shared" si="64"/>
        <v>0</v>
      </c>
      <c r="FN23" s="58">
        <f t="shared" si="64"/>
        <v>0</v>
      </c>
      <c r="FO23" s="58">
        <f t="shared" si="64"/>
        <v>0</v>
      </c>
      <c r="FP23" s="58">
        <f t="shared" si="64"/>
        <v>0</v>
      </c>
      <c r="FQ23" s="58">
        <f t="shared" si="64"/>
        <v>0</v>
      </c>
      <c r="FR23" s="58">
        <f t="shared" si="64"/>
        <v>0</v>
      </c>
      <c r="FS23" s="58">
        <f t="shared" si="64"/>
        <v>0</v>
      </c>
      <c r="FT23" s="58">
        <f t="shared" si="64"/>
        <v>0</v>
      </c>
      <c r="FU23" s="58">
        <f t="shared" si="64"/>
        <v>0</v>
      </c>
      <c r="FV23" s="58">
        <f t="shared" si="64"/>
        <v>0</v>
      </c>
      <c r="FW23" s="58">
        <f t="shared" si="64"/>
        <v>0</v>
      </c>
      <c r="FX23" s="58">
        <f t="shared" si="64"/>
        <v>0</v>
      </c>
      <c r="FY23" s="58">
        <f t="shared" si="64"/>
        <v>0</v>
      </c>
      <c r="FZ23" s="58">
        <f t="shared" si="64"/>
        <v>0</v>
      </c>
      <c r="GA23" s="58">
        <f t="shared" si="64"/>
        <v>0</v>
      </c>
      <c r="GB23" s="58">
        <f t="shared" si="64"/>
        <v>0</v>
      </c>
      <c r="GC23" s="58">
        <f t="shared" si="64"/>
        <v>0</v>
      </c>
      <c r="GD23" s="58">
        <f t="shared" si="64"/>
        <v>0</v>
      </c>
      <c r="GE23" s="58">
        <f t="shared" si="64"/>
        <v>0</v>
      </c>
      <c r="GF23" s="58">
        <f t="shared" si="64"/>
        <v>0</v>
      </c>
      <c r="GG23" s="58">
        <f t="shared" si="64"/>
        <v>0</v>
      </c>
      <c r="GH23" s="58">
        <f t="shared" si="64"/>
        <v>0</v>
      </c>
      <c r="GI23" s="58">
        <f t="shared" si="64"/>
        <v>0</v>
      </c>
      <c r="GJ23" s="58">
        <f t="shared" si="64"/>
        <v>0</v>
      </c>
      <c r="GK23" s="58">
        <f t="shared" si="64"/>
        <v>0</v>
      </c>
      <c r="GL23" s="58">
        <f t="shared" si="64"/>
        <v>0</v>
      </c>
      <c r="GM23" s="58">
        <f t="shared" si="64"/>
        <v>0</v>
      </c>
      <c r="GN23" s="58">
        <f t="shared" si="64"/>
        <v>0</v>
      </c>
      <c r="GO23" s="58">
        <f t="shared" si="64"/>
        <v>0</v>
      </c>
      <c r="GP23" s="58">
        <f t="shared" si="64"/>
        <v>0</v>
      </c>
      <c r="GQ23" s="58">
        <f t="shared" si="64"/>
        <v>0</v>
      </c>
      <c r="GR23" s="58">
        <f t="shared" si="64"/>
        <v>0</v>
      </c>
      <c r="GS23" s="58">
        <f t="shared" si="64"/>
        <v>0</v>
      </c>
      <c r="GT23" s="58">
        <f t="shared" si="64"/>
        <v>0</v>
      </c>
      <c r="GU23" s="58">
        <f t="shared" si="64"/>
        <v>0</v>
      </c>
      <c r="GV23" s="58">
        <f t="shared" si="64"/>
        <v>0</v>
      </c>
      <c r="GW23" s="58">
        <f t="shared" si="64"/>
        <v>0</v>
      </c>
      <c r="GX23" s="58">
        <f t="shared" si="64"/>
        <v>0</v>
      </c>
      <c r="GY23" s="58">
        <f t="shared" si="64"/>
        <v>0</v>
      </c>
      <c r="GZ23" s="58">
        <f t="shared" si="64"/>
        <v>0</v>
      </c>
      <c r="HA23" s="58">
        <f t="shared" si="64"/>
        <v>0</v>
      </c>
      <c r="HB23" s="58">
        <f t="shared" si="64"/>
        <v>0</v>
      </c>
      <c r="HC23" s="58">
        <f t="shared" si="64"/>
        <v>0</v>
      </c>
      <c r="HD23" s="58">
        <f t="shared" si="64"/>
        <v>0</v>
      </c>
      <c r="HE23" s="58">
        <f t="shared" si="64"/>
        <v>0</v>
      </c>
      <c r="HF23" s="58">
        <f t="shared" si="64"/>
        <v>0</v>
      </c>
      <c r="HG23" s="58">
        <f t="shared" ref="HG23:IB23" si="65">SUM(HG20:HG22)</f>
        <v>0</v>
      </c>
      <c r="HH23" s="58">
        <f t="shared" si="65"/>
        <v>0</v>
      </c>
      <c r="HI23" s="58">
        <f t="shared" si="65"/>
        <v>0</v>
      </c>
      <c r="HJ23" s="58">
        <f t="shared" si="65"/>
        <v>0</v>
      </c>
      <c r="HK23" s="58">
        <f t="shared" si="65"/>
        <v>0</v>
      </c>
      <c r="HL23" s="58">
        <f t="shared" si="65"/>
        <v>0</v>
      </c>
      <c r="HM23" s="58">
        <f t="shared" si="65"/>
        <v>0</v>
      </c>
      <c r="HN23" s="58">
        <f t="shared" si="65"/>
        <v>0</v>
      </c>
      <c r="HO23" s="58">
        <f t="shared" si="65"/>
        <v>0</v>
      </c>
      <c r="HP23" s="58">
        <f t="shared" si="65"/>
        <v>0</v>
      </c>
      <c r="HQ23" s="58">
        <f t="shared" si="65"/>
        <v>0</v>
      </c>
      <c r="HR23" s="58">
        <f t="shared" si="65"/>
        <v>0</v>
      </c>
      <c r="HS23" s="58">
        <f t="shared" si="65"/>
        <v>0</v>
      </c>
      <c r="HT23" s="58">
        <f t="shared" si="65"/>
        <v>0</v>
      </c>
      <c r="HU23" s="58">
        <f t="shared" si="65"/>
        <v>0</v>
      </c>
      <c r="HV23" s="58">
        <f t="shared" si="65"/>
        <v>0</v>
      </c>
      <c r="HW23" s="58">
        <f t="shared" si="65"/>
        <v>0</v>
      </c>
      <c r="HX23" s="58">
        <f t="shared" si="65"/>
        <v>0</v>
      </c>
      <c r="HY23" s="58">
        <f t="shared" si="65"/>
        <v>0</v>
      </c>
      <c r="HZ23" s="58">
        <f t="shared" si="65"/>
        <v>0</v>
      </c>
      <c r="IA23" s="58">
        <f t="shared" si="65"/>
        <v>0</v>
      </c>
      <c r="IB23" s="58">
        <f t="shared" si="65"/>
        <v>0</v>
      </c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</row>
    <row r="24" spans="1:251" ht="18" customHeight="1" thickBot="1" x14ac:dyDescent="0.35">
      <c r="C24" s="21"/>
      <c r="D24" s="59" t="s">
        <v>136</v>
      </c>
      <c r="E24" s="332" t="s">
        <v>137</v>
      </c>
      <c r="F24" s="133"/>
      <c r="G24" s="134"/>
      <c r="H24" s="123"/>
      <c r="I24" s="25" t="s">
        <v>48</v>
      </c>
      <c r="J24" s="135">
        <f>$U$25/Units</f>
        <v>102.43007703000001</v>
      </c>
      <c r="K24" s="135">
        <f t="shared" ref="K24:P24" si="66">J$28</f>
        <v>183.508458172329</v>
      </c>
      <c r="L24" s="135">
        <f t="shared" si="66"/>
        <v>232.12476198345146</v>
      </c>
      <c r="M24" s="135">
        <f>L$28</f>
        <v>184.07089125297756</v>
      </c>
      <c r="N24" s="135">
        <f>M$28</f>
        <v>64.894010316731709</v>
      </c>
      <c r="O24" s="135">
        <f t="shared" si="66"/>
        <v>0</v>
      </c>
      <c r="P24" s="135">
        <f t="shared" si="66"/>
        <v>0</v>
      </c>
      <c r="Q24" s="119" t="s">
        <v>39</v>
      </c>
      <c r="R24" s="123"/>
      <c r="S24" s="27"/>
      <c r="T24" s="136"/>
      <c r="U24" s="58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</row>
    <row r="25" spans="1:251" ht="18" customHeight="1" thickTop="1" thickBot="1" x14ac:dyDescent="0.35">
      <c r="C25" s="21"/>
      <c r="D25" s="333" t="s">
        <v>138</v>
      </c>
      <c r="E25" s="137"/>
      <c r="F25" s="138"/>
      <c r="G25" s="139"/>
      <c r="H25" s="25"/>
      <c r="I25" s="140" t="s">
        <v>49</v>
      </c>
      <c r="J25" s="135">
        <f>SUMIFS($U$15:$IB$15,$U$7:$IB$7,"&gt;="&amp;$U$7,$U$7:$IB$7,"&lt;="&amp;J$17)/Units</f>
        <v>73.379948646666676</v>
      </c>
      <c r="K25" s="135">
        <f t="shared" ref="K25:P25" si="67">SUMIFS($U$15:$IB$15,$U$7:$IB$7,"&gt;"&amp;J$17,$U$7:$IB$7,"&lt;="&amp;K$17)/Units</f>
        <v>36.689974323333338</v>
      </c>
      <c r="L25" s="135">
        <f t="shared" si="67"/>
        <v>0</v>
      </c>
      <c r="M25" s="135">
        <f t="shared" si="67"/>
        <v>0</v>
      </c>
      <c r="N25" s="135">
        <f t="shared" si="67"/>
        <v>0</v>
      </c>
      <c r="O25" s="135">
        <f t="shared" si="67"/>
        <v>0</v>
      </c>
      <c r="P25" s="135">
        <f t="shared" si="67"/>
        <v>0</v>
      </c>
      <c r="Q25" s="141">
        <f>SUM(J25:P25)</f>
        <v>110.06992297000002</v>
      </c>
      <c r="R25" s="25"/>
      <c r="S25" s="142"/>
      <c r="T25" s="143" t="s">
        <v>50</v>
      </c>
      <c r="U25" s="144">
        <f>$E$14</f>
        <v>102430077.03</v>
      </c>
      <c r="V25" s="145">
        <f>V17+V23</f>
        <v>109015808.91320756</v>
      </c>
      <c r="W25" s="145">
        <f t="shared" ref="W25:CG25" si="68">W17+W23</f>
        <v>115632065.63729569</v>
      </c>
      <c r="X25" s="145">
        <f t="shared" si="68"/>
        <v>122279004.2734189</v>
      </c>
      <c r="Y25" s="145">
        <f t="shared" si="68"/>
        <v>128956782.70097004</v>
      </c>
      <c r="Z25" s="145">
        <f t="shared" si="68"/>
        <v>135665559.61173925</v>
      </c>
      <c r="AA25" s="145">
        <f t="shared" si="68"/>
        <v>142405494.51409435</v>
      </c>
      <c r="AB25" s="145">
        <f t="shared" si="68"/>
        <v>149176747.73718265</v>
      </c>
      <c r="AC25" s="145">
        <f t="shared" si="68"/>
        <v>155979480.43515438</v>
      </c>
      <c r="AD25" s="145">
        <f t="shared" si="68"/>
        <v>162813854.59140801</v>
      </c>
      <c r="AE25" s="145">
        <f t="shared" si="68"/>
        <v>169680033.02285719</v>
      </c>
      <c r="AF25" s="145">
        <f t="shared" si="68"/>
        <v>176578179.3842198</v>
      </c>
      <c r="AG25" s="145">
        <f t="shared" si="68"/>
        <v>183508458.17232901</v>
      </c>
      <c r="AH25" s="145">
        <f t="shared" si="68"/>
        <v>190471034.73046657</v>
      </c>
      <c r="AI25" s="145">
        <f t="shared" si="68"/>
        <v>197466075.25271827</v>
      </c>
      <c r="AJ25" s="145">
        <f t="shared" si="68"/>
        <v>204493746.78835207</v>
      </c>
      <c r="AK25" s="145">
        <f t="shared" si="68"/>
        <v>211554217.24621847</v>
      </c>
      <c r="AL25" s="145">
        <f t="shared" si="68"/>
        <v>218647655.39917371</v>
      </c>
      <c r="AM25" s="145">
        <f t="shared" si="68"/>
        <v>225774230.88852558</v>
      </c>
      <c r="AN25" s="145">
        <f t="shared" si="68"/>
        <v>226819118.50794676</v>
      </c>
      <c r="AO25" s="145">
        <f t="shared" si="68"/>
        <v>227869382.78781745</v>
      </c>
      <c r="AP25" s="145">
        <f t="shared" si="68"/>
        <v>228925051.39472789</v>
      </c>
      <c r="AQ25" s="145">
        <f t="shared" si="68"/>
        <v>229986152.13763177</v>
      </c>
      <c r="AR25" s="145">
        <f t="shared" si="68"/>
        <v>231052712.96857893</v>
      </c>
      <c r="AS25" s="145">
        <f t="shared" si="68"/>
        <v>232124761.98345146</v>
      </c>
      <c r="AT25" s="145">
        <f t="shared" si="68"/>
        <v>233202327.42270407</v>
      </c>
      <c r="AU25" s="145">
        <f t="shared" si="68"/>
        <v>234285437.67210788</v>
      </c>
      <c r="AV25" s="145">
        <f t="shared" si="68"/>
        <v>235374121.2634981</v>
      </c>
      <c r="AW25" s="145">
        <f t="shared" si="68"/>
        <v>236468406.87552583</v>
      </c>
      <c r="AX25" s="145">
        <f t="shared" si="68"/>
        <v>237568323.33441341</v>
      </c>
      <c r="AY25" s="145">
        <f t="shared" si="68"/>
        <v>238673899.61471367</v>
      </c>
      <c r="AZ25" s="145">
        <f t="shared" si="68"/>
        <v>229794116.30507034</v>
      </c>
      <c r="BA25" s="145">
        <f t="shared" si="68"/>
        <v>220826969.26033378</v>
      </c>
      <c r="BB25" s="145">
        <f t="shared" si="68"/>
        <v>211771769.4493055</v>
      </c>
      <c r="BC25" s="145">
        <f t="shared" si="68"/>
        <v>202627823.06293654</v>
      </c>
      <c r="BD25" s="145">
        <f t="shared" si="68"/>
        <v>193394431.48340097</v>
      </c>
      <c r="BE25" s="145">
        <f t="shared" si="68"/>
        <v>184070891.25297755</v>
      </c>
      <c r="BF25" s="145">
        <f t="shared" si="68"/>
        <v>174656494.04273897</v>
      </c>
      <c r="BG25" s="145">
        <f t="shared" si="68"/>
        <v>165150526.62104633</v>
      </c>
      <c r="BH25" s="145">
        <f t="shared" si="68"/>
        <v>155552270.82184896</v>
      </c>
      <c r="BI25" s="145">
        <f t="shared" si="68"/>
        <v>145861003.51278746</v>
      </c>
      <c r="BJ25" s="145">
        <f t="shared" si="68"/>
        <v>136075996.56309929</v>
      </c>
      <c r="BK25" s="145">
        <f t="shared" si="68"/>
        <v>126196516.81132543</v>
      </c>
      <c r="BL25" s="145">
        <f t="shared" si="68"/>
        <v>116221826.03281718</v>
      </c>
      <c r="BM25" s="145">
        <f t="shared" si="68"/>
        <v>106151180.90704173</v>
      </c>
      <c r="BN25" s="145">
        <f t="shared" si="68"/>
        <v>95983832.984685287</v>
      </c>
      <c r="BO25" s="145">
        <f t="shared" si="68"/>
        <v>85719028.654552549</v>
      </c>
      <c r="BP25" s="145">
        <f t="shared" si="68"/>
        <v>75356009.110261455</v>
      </c>
      <c r="BQ25" s="145">
        <f t="shared" si="68"/>
        <v>64894010.316731706</v>
      </c>
      <c r="BR25" s="145">
        <f t="shared" si="68"/>
        <v>54332262.976466045</v>
      </c>
      <c r="BS25" s="145">
        <f t="shared" si="68"/>
        <v>43669992.495623</v>
      </c>
      <c r="BT25" s="145">
        <f t="shared" si="68"/>
        <v>32906418.949879739</v>
      </c>
      <c r="BU25" s="145">
        <f t="shared" si="68"/>
        <v>22040757.050083861</v>
      </c>
      <c r="BV25" s="145">
        <f t="shared" si="68"/>
        <v>11072216.107692871</v>
      </c>
      <c r="BW25" s="145">
        <f t="shared" si="68"/>
        <v>0</v>
      </c>
      <c r="BX25" s="145">
        <f t="shared" si="68"/>
        <v>0</v>
      </c>
      <c r="BY25" s="145">
        <f t="shared" si="68"/>
        <v>0</v>
      </c>
      <c r="BZ25" s="145">
        <f t="shared" si="68"/>
        <v>0</v>
      </c>
      <c r="CA25" s="145">
        <f t="shared" si="68"/>
        <v>0</v>
      </c>
      <c r="CB25" s="145">
        <f t="shared" si="68"/>
        <v>0</v>
      </c>
      <c r="CC25" s="145">
        <f t="shared" si="68"/>
        <v>0</v>
      </c>
      <c r="CD25" s="145">
        <f t="shared" si="68"/>
        <v>0</v>
      </c>
      <c r="CE25" s="145">
        <f t="shared" si="68"/>
        <v>0</v>
      </c>
      <c r="CF25" s="145">
        <f t="shared" si="68"/>
        <v>0</v>
      </c>
      <c r="CG25" s="145">
        <f t="shared" si="68"/>
        <v>0</v>
      </c>
      <c r="CH25" s="145">
        <f t="shared" ref="CH25:ES25" si="69">CH17+CH23</f>
        <v>0</v>
      </c>
      <c r="CI25" s="145">
        <f t="shared" si="69"/>
        <v>0</v>
      </c>
      <c r="CJ25" s="145">
        <f t="shared" si="69"/>
        <v>0</v>
      </c>
      <c r="CK25" s="145">
        <f t="shared" si="69"/>
        <v>0</v>
      </c>
      <c r="CL25" s="145">
        <f t="shared" si="69"/>
        <v>0</v>
      </c>
      <c r="CM25" s="145">
        <f t="shared" si="69"/>
        <v>0</v>
      </c>
      <c r="CN25" s="145">
        <f t="shared" si="69"/>
        <v>0</v>
      </c>
      <c r="CO25" s="145">
        <f t="shared" si="69"/>
        <v>0</v>
      </c>
      <c r="CP25" s="145">
        <f t="shared" si="69"/>
        <v>0</v>
      </c>
      <c r="CQ25" s="145">
        <f t="shared" si="69"/>
        <v>0</v>
      </c>
      <c r="CR25" s="145">
        <f t="shared" si="69"/>
        <v>0</v>
      </c>
      <c r="CS25" s="145">
        <f t="shared" si="69"/>
        <v>0</v>
      </c>
      <c r="CT25" s="145">
        <f t="shared" si="69"/>
        <v>0</v>
      </c>
      <c r="CU25" s="145">
        <f t="shared" si="69"/>
        <v>0</v>
      </c>
      <c r="CV25" s="145">
        <f t="shared" si="69"/>
        <v>0</v>
      </c>
      <c r="CW25" s="145">
        <f t="shared" si="69"/>
        <v>0</v>
      </c>
      <c r="CX25" s="145">
        <f t="shared" si="69"/>
        <v>0</v>
      </c>
      <c r="CY25" s="145">
        <f t="shared" si="69"/>
        <v>0</v>
      </c>
      <c r="CZ25" s="145">
        <f t="shared" si="69"/>
        <v>0</v>
      </c>
      <c r="DA25" s="145">
        <f t="shared" si="69"/>
        <v>0</v>
      </c>
      <c r="DB25" s="145">
        <f t="shared" si="69"/>
        <v>0</v>
      </c>
      <c r="DC25" s="145">
        <f t="shared" si="69"/>
        <v>0</v>
      </c>
      <c r="DD25" s="145">
        <f t="shared" si="69"/>
        <v>0</v>
      </c>
      <c r="DE25" s="145">
        <f t="shared" si="69"/>
        <v>0</v>
      </c>
      <c r="DF25" s="145">
        <f t="shared" si="69"/>
        <v>0</v>
      </c>
      <c r="DG25" s="145">
        <f t="shared" si="69"/>
        <v>0</v>
      </c>
      <c r="DH25" s="145">
        <f t="shared" si="69"/>
        <v>0</v>
      </c>
      <c r="DI25" s="145">
        <f t="shared" si="69"/>
        <v>0</v>
      </c>
      <c r="DJ25" s="145">
        <f t="shared" si="69"/>
        <v>0</v>
      </c>
      <c r="DK25" s="145">
        <f t="shared" si="69"/>
        <v>0</v>
      </c>
      <c r="DL25" s="145">
        <f t="shared" si="69"/>
        <v>0</v>
      </c>
      <c r="DM25" s="145">
        <f t="shared" si="69"/>
        <v>0</v>
      </c>
      <c r="DN25" s="145">
        <f t="shared" si="69"/>
        <v>0</v>
      </c>
      <c r="DO25" s="145">
        <f t="shared" si="69"/>
        <v>0</v>
      </c>
      <c r="DP25" s="145">
        <f t="shared" si="69"/>
        <v>0</v>
      </c>
      <c r="DQ25" s="145">
        <f t="shared" si="69"/>
        <v>0</v>
      </c>
      <c r="DR25" s="145">
        <f t="shared" si="69"/>
        <v>0</v>
      </c>
      <c r="DS25" s="145">
        <f t="shared" si="69"/>
        <v>0</v>
      </c>
      <c r="DT25" s="145">
        <f t="shared" si="69"/>
        <v>0</v>
      </c>
      <c r="DU25" s="145">
        <f t="shared" si="69"/>
        <v>0</v>
      </c>
      <c r="DV25" s="145">
        <f t="shared" si="69"/>
        <v>0</v>
      </c>
      <c r="DW25" s="145">
        <f t="shared" si="69"/>
        <v>0</v>
      </c>
      <c r="DX25" s="145">
        <f t="shared" si="69"/>
        <v>0</v>
      </c>
      <c r="DY25" s="145">
        <f t="shared" si="69"/>
        <v>0</v>
      </c>
      <c r="DZ25" s="145">
        <f t="shared" si="69"/>
        <v>0</v>
      </c>
      <c r="EA25" s="145">
        <f t="shared" si="69"/>
        <v>0</v>
      </c>
      <c r="EB25" s="145">
        <f t="shared" si="69"/>
        <v>0</v>
      </c>
      <c r="EC25" s="145">
        <f t="shared" si="69"/>
        <v>0</v>
      </c>
      <c r="ED25" s="145">
        <f t="shared" si="69"/>
        <v>0</v>
      </c>
      <c r="EE25" s="145">
        <f t="shared" si="69"/>
        <v>0</v>
      </c>
      <c r="EF25" s="145">
        <f t="shared" si="69"/>
        <v>0</v>
      </c>
      <c r="EG25" s="145">
        <f t="shared" si="69"/>
        <v>0</v>
      </c>
      <c r="EH25" s="145">
        <f t="shared" si="69"/>
        <v>0</v>
      </c>
      <c r="EI25" s="145">
        <f t="shared" si="69"/>
        <v>0</v>
      </c>
      <c r="EJ25" s="145">
        <f t="shared" si="69"/>
        <v>0</v>
      </c>
      <c r="EK25" s="145">
        <f t="shared" si="69"/>
        <v>0</v>
      </c>
      <c r="EL25" s="145">
        <f t="shared" si="69"/>
        <v>0</v>
      </c>
      <c r="EM25" s="145">
        <f t="shared" si="69"/>
        <v>0</v>
      </c>
      <c r="EN25" s="145">
        <f t="shared" si="69"/>
        <v>0</v>
      </c>
      <c r="EO25" s="145">
        <f t="shared" si="69"/>
        <v>0</v>
      </c>
      <c r="EP25" s="145">
        <f t="shared" si="69"/>
        <v>0</v>
      </c>
      <c r="EQ25" s="145">
        <f t="shared" si="69"/>
        <v>0</v>
      </c>
      <c r="ER25" s="145">
        <f t="shared" si="69"/>
        <v>0</v>
      </c>
      <c r="ES25" s="145">
        <f t="shared" si="69"/>
        <v>0</v>
      </c>
      <c r="ET25" s="145">
        <f t="shared" ref="ET25:HE25" si="70">ET17+ET23</f>
        <v>0</v>
      </c>
      <c r="EU25" s="145">
        <f t="shared" si="70"/>
        <v>0</v>
      </c>
      <c r="EV25" s="145">
        <f t="shared" si="70"/>
        <v>0</v>
      </c>
      <c r="EW25" s="145">
        <f t="shared" si="70"/>
        <v>0</v>
      </c>
      <c r="EX25" s="145">
        <f t="shared" si="70"/>
        <v>0</v>
      </c>
      <c r="EY25" s="145">
        <f t="shared" si="70"/>
        <v>0</v>
      </c>
      <c r="EZ25" s="145">
        <f t="shared" si="70"/>
        <v>0</v>
      </c>
      <c r="FA25" s="145">
        <f t="shared" si="70"/>
        <v>0</v>
      </c>
      <c r="FB25" s="145">
        <f t="shared" si="70"/>
        <v>0</v>
      </c>
      <c r="FC25" s="145">
        <f t="shared" si="70"/>
        <v>0</v>
      </c>
      <c r="FD25" s="145">
        <f t="shared" si="70"/>
        <v>0</v>
      </c>
      <c r="FE25" s="145">
        <f t="shared" si="70"/>
        <v>0</v>
      </c>
      <c r="FF25" s="145">
        <f t="shared" si="70"/>
        <v>0</v>
      </c>
      <c r="FG25" s="145">
        <f t="shared" si="70"/>
        <v>0</v>
      </c>
      <c r="FH25" s="145">
        <f t="shared" si="70"/>
        <v>0</v>
      </c>
      <c r="FI25" s="145">
        <f t="shared" si="70"/>
        <v>0</v>
      </c>
      <c r="FJ25" s="145">
        <f t="shared" si="70"/>
        <v>0</v>
      </c>
      <c r="FK25" s="145">
        <f t="shared" si="70"/>
        <v>0</v>
      </c>
      <c r="FL25" s="145">
        <f t="shared" si="70"/>
        <v>0</v>
      </c>
      <c r="FM25" s="145">
        <f t="shared" si="70"/>
        <v>0</v>
      </c>
      <c r="FN25" s="145">
        <f t="shared" si="70"/>
        <v>0</v>
      </c>
      <c r="FO25" s="145">
        <f t="shared" si="70"/>
        <v>0</v>
      </c>
      <c r="FP25" s="145">
        <f t="shared" si="70"/>
        <v>0</v>
      </c>
      <c r="FQ25" s="145">
        <f t="shared" si="70"/>
        <v>0</v>
      </c>
      <c r="FR25" s="145">
        <f t="shared" si="70"/>
        <v>0</v>
      </c>
      <c r="FS25" s="145">
        <f t="shared" si="70"/>
        <v>0</v>
      </c>
      <c r="FT25" s="145">
        <f t="shared" si="70"/>
        <v>0</v>
      </c>
      <c r="FU25" s="145">
        <f t="shared" si="70"/>
        <v>0</v>
      </c>
      <c r="FV25" s="145">
        <f t="shared" si="70"/>
        <v>0</v>
      </c>
      <c r="FW25" s="145">
        <f t="shared" si="70"/>
        <v>0</v>
      </c>
      <c r="FX25" s="145">
        <f t="shared" si="70"/>
        <v>0</v>
      </c>
      <c r="FY25" s="145">
        <f t="shared" si="70"/>
        <v>0</v>
      </c>
      <c r="FZ25" s="145">
        <f t="shared" si="70"/>
        <v>0</v>
      </c>
      <c r="GA25" s="145">
        <f t="shared" si="70"/>
        <v>0</v>
      </c>
      <c r="GB25" s="145">
        <f t="shared" si="70"/>
        <v>0</v>
      </c>
      <c r="GC25" s="145">
        <f t="shared" si="70"/>
        <v>0</v>
      </c>
      <c r="GD25" s="145">
        <f t="shared" si="70"/>
        <v>0</v>
      </c>
      <c r="GE25" s="145">
        <f t="shared" si="70"/>
        <v>0</v>
      </c>
      <c r="GF25" s="145">
        <f t="shared" si="70"/>
        <v>0</v>
      </c>
      <c r="GG25" s="145">
        <f t="shared" si="70"/>
        <v>0</v>
      </c>
      <c r="GH25" s="145">
        <f t="shared" si="70"/>
        <v>0</v>
      </c>
      <c r="GI25" s="145">
        <f t="shared" si="70"/>
        <v>0</v>
      </c>
      <c r="GJ25" s="145">
        <f t="shared" si="70"/>
        <v>0</v>
      </c>
      <c r="GK25" s="145">
        <f t="shared" si="70"/>
        <v>0</v>
      </c>
      <c r="GL25" s="145">
        <f t="shared" si="70"/>
        <v>0</v>
      </c>
      <c r="GM25" s="145">
        <f t="shared" si="70"/>
        <v>0</v>
      </c>
      <c r="GN25" s="145">
        <f t="shared" si="70"/>
        <v>0</v>
      </c>
      <c r="GO25" s="145">
        <f t="shared" si="70"/>
        <v>0</v>
      </c>
      <c r="GP25" s="145">
        <f t="shared" si="70"/>
        <v>0</v>
      </c>
      <c r="GQ25" s="145">
        <f t="shared" si="70"/>
        <v>0</v>
      </c>
      <c r="GR25" s="145">
        <f t="shared" si="70"/>
        <v>0</v>
      </c>
      <c r="GS25" s="145">
        <f t="shared" si="70"/>
        <v>0</v>
      </c>
      <c r="GT25" s="145">
        <f t="shared" si="70"/>
        <v>0</v>
      </c>
      <c r="GU25" s="145">
        <f t="shared" si="70"/>
        <v>0</v>
      </c>
      <c r="GV25" s="145">
        <f t="shared" si="70"/>
        <v>0</v>
      </c>
      <c r="GW25" s="145">
        <f t="shared" si="70"/>
        <v>0</v>
      </c>
      <c r="GX25" s="145">
        <f t="shared" si="70"/>
        <v>0</v>
      </c>
      <c r="GY25" s="145">
        <f t="shared" si="70"/>
        <v>0</v>
      </c>
      <c r="GZ25" s="145">
        <f t="shared" si="70"/>
        <v>0</v>
      </c>
      <c r="HA25" s="145">
        <f t="shared" si="70"/>
        <v>0</v>
      </c>
      <c r="HB25" s="145">
        <f t="shared" si="70"/>
        <v>0</v>
      </c>
      <c r="HC25" s="145">
        <f t="shared" si="70"/>
        <v>0</v>
      </c>
      <c r="HD25" s="145">
        <f t="shared" si="70"/>
        <v>0</v>
      </c>
      <c r="HE25" s="145">
        <f t="shared" si="70"/>
        <v>0</v>
      </c>
      <c r="HF25" s="145">
        <f t="shared" ref="HF25:IB25" si="71">HF17+HF23</f>
        <v>0</v>
      </c>
      <c r="HG25" s="145">
        <f t="shared" si="71"/>
        <v>0</v>
      </c>
      <c r="HH25" s="145">
        <f t="shared" si="71"/>
        <v>0</v>
      </c>
      <c r="HI25" s="145">
        <f t="shared" si="71"/>
        <v>0</v>
      </c>
      <c r="HJ25" s="145">
        <f t="shared" si="71"/>
        <v>0</v>
      </c>
      <c r="HK25" s="145">
        <f t="shared" si="71"/>
        <v>0</v>
      </c>
      <c r="HL25" s="145">
        <f t="shared" si="71"/>
        <v>0</v>
      </c>
      <c r="HM25" s="145">
        <f t="shared" si="71"/>
        <v>0</v>
      </c>
      <c r="HN25" s="145">
        <f t="shared" si="71"/>
        <v>0</v>
      </c>
      <c r="HO25" s="145">
        <f t="shared" si="71"/>
        <v>0</v>
      </c>
      <c r="HP25" s="145">
        <f t="shared" si="71"/>
        <v>0</v>
      </c>
      <c r="HQ25" s="145">
        <f t="shared" si="71"/>
        <v>0</v>
      </c>
      <c r="HR25" s="145">
        <f t="shared" si="71"/>
        <v>0</v>
      </c>
      <c r="HS25" s="145">
        <f t="shared" si="71"/>
        <v>0</v>
      </c>
      <c r="HT25" s="145">
        <f t="shared" si="71"/>
        <v>0</v>
      </c>
      <c r="HU25" s="145">
        <f t="shared" si="71"/>
        <v>0</v>
      </c>
      <c r="HV25" s="145">
        <f t="shared" si="71"/>
        <v>0</v>
      </c>
      <c r="HW25" s="145">
        <f t="shared" si="71"/>
        <v>0</v>
      </c>
      <c r="HX25" s="145">
        <f t="shared" si="71"/>
        <v>0</v>
      </c>
      <c r="HY25" s="145">
        <f t="shared" si="71"/>
        <v>0</v>
      </c>
      <c r="HZ25" s="145">
        <f t="shared" si="71"/>
        <v>0</v>
      </c>
      <c r="IA25" s="145">
        <f t="shared" si="71"/>
        <v>0</v>
      </c>
      <c r="IB25" s="145">
        <f t="shared" si="71"/>
        <v>0</v>
      </c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</row>
    <row r="26" spans="1:251" ht="18" customHeight="1" x14ac:dyDescent="0.3">
      <c r="C26" s="21"/>
      <c r="D26" s="146" t="s">
        <v>142</v>
      </c>
      <c r="E26" s="147">
        <f>IF(ISBLANK($G26),$F26,$G26)</f>
        <v>0</v>
      </c>
      <c r="F26" s="148"/>
      <c r="G26" s="139"/>
      <c r="H26" s="25"/>
      <c r="I26" s="140" t="s">
        <v>51</v>
      </c>
      <c r="J26" s="135">
        <f>SUM(J32:J34)</f>
        <v>-10.956209634923971</v>
      </c>
      <c r="K26" s="135">
        <f>SUM(K32:K34)</f>
        <v>-16.89763929069268</v>
      </c>
      <c r="L26" s="135">
        <f t="shared" ref="L26:P26" si="72">SUM(L32:L34)</f>
        <v>-78.396432058704704</v>
      </c>
      <c r="M26" s="135">
        <f t="shared" si="72"/>
        <v>-136.78634026829917</v>
      </c>
      <c r="N26" s="135">
        <f t="shared" si="72"/>
        <v>-67.47094606501858</v>
      </c>
      <c r="O26" s="135">
        <f>SUM(O32:O34)</f>
        <v>0</v>
      </c>
      <c r="P26" s="135">
        <f t="shared" si="72"/>
        <v>0</v>
      </c>
      <c r="Q26" s="141">
        <f>SUM(J26:P26)</f>
        <v>-310.50756731763909</v>
      </c>
      <c r="R26" s="25"/>
      <c r="S26" s="1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  <c r="GW26" s="34"/>
      <c r="GX26" s="34"/>
      <c r="GY26" s="34"/>
      <c r="GZ26" s="34"/>
      <c r="HA26" s="34"/>
      <c r="HB26" s="34"/>
      <c r="HC26" s="34"/>
      <c r="HD26" s="34"/>
      <c r="HE26" s="34"/>
      <c r="HF26" s="34"/>
      <c r="HG26" s="34"/>
      <c r="HH26" s="34"/>
      <c r="HI26" s="34"/>
      <c r="HJ26" s="34"/>
      <c r="HK26" s="34"/>
      <c r="HL26" s="34"/>
      <c r="HM26" s="34"/>
      <c r="HN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4"/>
      <c r="IB26" s="34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</row>
    <row r="27" spans="1:251" ht="18" customHeight="1" x14ac:dyDescent="0.3">
      <c r="C27" s="21"/>
      <c r="D27" s="149" t="s">
        <v>143</v>
      </c>
      <c r="E27" s="147">
        <f>IF(ISBLANK($G27),$F27,EOMONTH($G27,0))</f>
        <v>0</v>
      </c>
      <c r="F27" s="150"/>
      <c r="G27" s="151"/>
      <c r="H27" s="25"/>
      <c r="I27" s="140" t="s">
        <v>52</v>
      </c>
      <c r="J27" s="135">
        <f>SUMIFS($U$21:$IB$21,$U$7:$IB$7,"&gt;="&amp;$U$7,$U$7:$IB$7,"&lt;="&amp;J$17)/Units-J33</f>
        <v>18.654642130586335</v>
      </c>
      <c r="K27" s="135">
        <f t="shared" ref="K27:P27" si="73">SUMIFS($U$21:$IB$21,$U$7:$IB$7,"&gt;"&amp;J$17,$U$7:$IB$7,"&lt;="&amp;K$17)/Units-K33</f>
        <v>28.823968778481778</v>
      </c>
      <c r="L27" s="135">
        <f t="shared" si="73"/>
        <v>30.34256132823073</v>
      </c>
      <c r="M27" s="135">
        <f t="shared" si="73"/>
        <v>17.60945933205327</v>
      </c>
      <c r="N27" s="135">
        <f t="shared" si="73"/>
        <v>2.5769357482868784</v>
      </c>
      <c r="O27" s="135">
        <f t="shared" si="73"/>
        <v>0</v>
      </c>
      <c r="P27" s="135">
        <f t="shared" si="73"/>
        <v>0</v>
      </c>
      <c r="Q27" s="141">
        <f>SUM(J27:P27)</f>
        <v>98.007567317638973</v>
      </c>
      <c r="R27" s="152"/>
      <c r="S27" s="1"/>
      <c r="T27" s="34" t="s">
        <v>53</v>
      </c>
      <c r="U27" s="34"/>
      <c r="V27" s="153">
        <f>IF(V7&gt;$E$11,0,MAX(U25*$E$16,0))</f>
        <v>1362306.0481911148</v>
      </c>
      <c r="W27" s="153">
        <f t="shared" ref="W27:CH27" si="74">IF(W7&gt;$E$11,0,MAX(V25*$E$16,0))</f>
        <v>1449895.3836324131</v>
      </c>
      <c r="X27" s="153">
        <f t="shared" si="74"/>
        <v>1537890.6952923911</v>
      </c>
      <c r="Y27" s="153">
        <f t="shared" si="74"/>
        <v>1626294.0721959714</v>
      </c>
      <c r="Z27" s="153">
        <f t="shared" si="74"/>
        <v>1715107.6141175367</v>
      </c>
      <c r="AA27" s="153">
        <f t="shared" si="74"/>
        <v>1804333.4316362429</v>
      </c>
      <c r="AB27" s="153">
        <f t="shared" si="74"/>
        <v>1893973.6461916175</v>
      </c>
      <c r="AC27" s="153">
        <f t="shared" si="74"/>
        <v>1984030.3901394431</v>
      </c>
      <c r="AD27" s="153">
        <f t="shared" si="74"/>
        <v>2074505.8068079287</v>
      </c>
      <c r="AE27" s="153">
        <f t="shared" si="74"/>
        <v>2165402.0505541721</v>
      </c>
      <c r="AF27" s="153">
        <f t="shared" si="74"/>
        <v>2256721.286820909</v>
      </c>
      <c r="AG27" s="153">
        <f t="shared" si="74"/>
        <v>2348465.6921935561</v>
      </c>
      <c r="AH27" s="153">
        <f t="shared" si="74"/>
        <v>2440637.4544575503</v>
      </c>
      <c r="AI27" s="153">
        <f t="shared" si="74"/>
        <v>2533238.7726559779</v>
      </c>
      <c r="AJ27" s="153">
        <f t="shared" si="74"/>
        <v>2626271.8571475032</v>
      </c>
      <c r="AK27" s="153">
        <f t="shared" si="74"/>
        <v>2719738.9296645964</v>
      </c>
      <c r="AL27" s="153">
        <f t="shared" si="74"/>
        <v>2813642.2233720589</v>
      </c>
      <c r="AM27" s="153">
        <f t="shared" si="74"/>
        <v>2907983.9829258495</v>
      </c>
      <c r="AN27" s="153">
        <f t="shared" si="74"/>
        <v>3002766.4645322151</v>
      </c>
      <c r="AO27" s="153">
        <f t="shared" si="74"/>
        <v>3016663.3272984182</v>
      </c>
      <c r="AP27" s="153">
        <f t="shared" si="74"/>
        <v>3030631.6989149684</v>
      </c>
      <c r="AQ27" s="153">
        <f t="shared" si="74"/>
        <v>3044671.9473437415</v>
      </c>
      <c r="AR27" s="153">
        <f t="shared" si="74"/>
        <v>3058784.4424400274</v>
      </c>
      <c r="AS27" s="153">
        <f t="shared" si="74"/>
        <v>3072969.5559622748</v>
      </c>
      <c r="AT27" s="153">
        <f t="shared" si="74"/>
        <v>3087227.6615818809</v>
      </c>
      <c r="AU27" s="153">
        <f t="shared" si="74"/>
        <v>3101559.1348930416</v>
      </c>
      <c r="AV27" s="153">
        <f t="shared" si="74"/>
        <v>3115964.3534226385</v>
      </c>
      <c r="AW27" s="153">
        <f t="shared" si="74"/>
        <v>3130443.6966401869</v>
      </c>
      <c r="AX27" s="153">
        <f t="shared" si="74"/>
        <v>3144997.5459678341</v>
      </c>
      <c r="AY27" s="153">
        <f t="shared" si="74"/>
        <v>3159626.2847904032</v>
      </c>
      <c r="AZ27" s="153">
        <f t="shared" si="74"/>
        <v>3174330.2984654936</v>
      </c>
      <c r="BA27" s="153">
        <f t="shared" si="74"/>
        <v>3056230.3920697323</v>
      </c>
      <c r="BB27" s="153">
        <f t="shared" si="74"/>
        <v>2936968.5599177768</v>
      </c>
      <c r="BC27" s="153">
        <f t="shared" si="74"/>
        <v>2816535.6379887047</v>
      </c>
      <c r="BD27" s="153">
        <f t="shared" si="74"/>
        <v>2694922.398716832</v>
      </c>
      <c r="BE27" s="153">
        <f t="shared" si="74"/>
        <v>2572119.5505803991</v>
      </c>
      <c r="BF27" s="153">
        <f t="shared" si="74"/>
        <v>2448117.7376876981</v>
      </c>
      <c r="BG27" s="153">
        <f t="shared" si="74"/>
        <v>2322907.5393606457</v>
      </c>
      <c r="BH27" s="153">
        <f t="shared" si="74"/>
        <v>2196479.4697157624</v>
      </c>
      <c r="BI27" s="153">
        <f t="shared" si="74"/>
        <v>2068823.9772425669</v>
      </c>
      <c r="BJ27" s="153">
        <f t="shared" si="74"/>
        <v>1939931.4443793481</v>
      </c>
      <c r="BK27" s="153">
        <f t="shared" si="74"/>
        <v>1809792.1870863158</v>
      </c>
      <c r="BL27" s="153">
        <f t="shared" si="74"/>
        <v>1678396.454416103</v>
      </c>
      <c r="BM27" s="153">
        <f t="shared" si="74"/>
        <v>1545734.4280816109</v>
      </c>
      <c r="BN27" s="153">
        <f t="shared" si="74"/>
        <v>1411796.2220211767</v>
      </c>
      <c r="BO27" s="153">
        <f t="shared" si="74"/>
        <v>1276571.8819610516</v>
      </c>
      <c r="BP27" s="153">
        <f t="shared" si="74"/>
        <v>1140051.3849751656</v>
      </c>
      <c r="BQ27" s="153">
        <f t="shared" si="74"/>
        <v>1002224.6390421749</v>
      </c>
      <c r="BR27" s="153">
        <f t="shared" si="74"/>
        <v>863081.48259976169</v>
      </c>
      <c r="BS27" s="153">
        <f t="shared" si="74"/>
        <v>722611.68409618118</v>
      </c>
      <c r="BT27" s="153">
        <f t="shared" si="74"/>
        <v>580804.94153903308</v>
      </c>
      <c r="BU27" s="153">
        <f t="shared" si="74"/>
        <v>437650.88204124215</v>
      </c>
      <c r="BV27" s="153">
        <f t="shared" si="74"/>
        <v>293139.06136423216</v>
      </c>
      <c r="BW27" s="153">
        <f t="shared" si="74"/>
        <v>147258.96345827516</v>
      </c>
      <c r="BX27" s="153">
        <f t="shared" si="74"/>
        <v>0</v>
      </c>
      <c r="BY27" s="153">
        <f t="shared" si="74"/>
        <v>0</v>
      </c>
      <c r="BZ27" s="153">
        <f t="shared" si="74"/>
        <v>0</v>
      </c>
      <c r="CA27" s="153">
        <f t="shared" si="74"/>
        <v>0</v>
      </c>
      <c r="CB27" s="153">
        <f t="shared" si="74"/>
        <v>0</v>
      </c>
      <c r="CC27" s="153">
        <f t="shared" si="74"/>
        <v>0</v>
      </c>
      <c r="CD27" s="153">
        <f t="shared" si="74"/>
        <v>0</v>
      </c>
      <c r="CE27" s="153">
        <f t="shared" si="74"/>
        <v>0</v>
      </c>
      <c r="CF27" s="153">
        <f t="shared" si="74"/>
        <v>0</v>
      </c>
      <c r="CG27" s="153">
        <f t="shared" si="74"/>
        <v>0</v>
      </c>
      <c r="CH27" s="153">
        <f t="shared" si="74"/>
        <v>0</v>
      </c>
      <c r="CI27" s="153">
        <f t="shared" ref="CI27:ET27" si="75">IF(CI7&gt;$E$11,0,MAX(CH25*$E$16,0))</f>
        <v>0</v>
      </c>
      <c r="CJ27" s="153">
        <f t="shared" si="75"/>
        <v>0</v>
      </c>
      <c r="CK27" s="153">
        <f t="shared" si="75"/>
        <v>0</v>
      </c>
      <c r="CL27" s="153">
        <f t="shared" si="75"/>
        <v>0</v>
      </c>
      <c r="CM27" s="153">
        <f t="shared" si="75"/>
        <v>0</v>
      </c>
      <c r="CN27" s="153">
        <f t="shared" si="75"/>
        <v>0</v>
      </c>
      <c r="CO27" s="153">
        <f t="shared" si="75"/>
        <v>0</v>
      </c>
      <c r="CP27" s="153">
        <f t="shared" si="75"/>
        <v>0</v>
      </c>
      <c r="CQ27" s="153">
        <f t="shared" si="75"/>
        <v>0</v>
      </c>
      <c r="CR27" s="153">
        <f t="shared" si="75"/>
        <v>0</v>
      </c>
      <c r="CS27" s="153">
        <f t="shared" si="75"/>
        <v>0</v>
      </c>
      <c r="CT27" s="153">
        <f t="shared" si="75"/>
        <v>0</v>
      </c>
      <c r="CU27" s="153">
        <f t="shared" si="75"/>
        <v>0</v>
      </c>
      <c r="CV27" s="153">
        <f t="shared" si="75"/>
        <v>0</v>
      </c>
      <c r="CW27" s="153">
        <f t="shared" si="75"/>
        <v>0</v>
      </c>
      <c r="CX27" s="153">
        <f t="shared" si="75"/>
        <v>0</v>
      </c>
      <c r="CY27" s="153">
        <f t="shared" si="75"/>
        <v>0</v>
      </c>
      <c r="CZ27" s="153">
        <f t="shared" si="75"/>
        <v>0</v>
      </c>
      <c r="DA27" s="153">
        <f t="shared" si="75"/>
        <v>0</v>
      </c>
      <c r="DB27" s="153">
        <f t="shared" si="75"/>
        <v>0</v>
      </c>
      <c r="DC27" s="153">
        <f t="shared" si="75"/>
        <v>0</v>
      </c>
      <c r="DD27" s="153">
        <f t="shared" si="75"/>
        <v>0</v>
      </c>
      <c r="DE27" s="153">
        <f t="shared" si="75"/>
        <v>0</v>
      </c>
      <c r="DF27" s="153">
        <f t="shared" si="75"/>
        <v>0</v>
      </c>
      <c r="DG27" s="153">
        <f t="shared" si="75"/>
        <v>0</v>
      </c>
      <c r="DH27" s="153">
        <f t="shared" si="75"/>
        <v>0</v>
      </c>
      <c r="DI27" s="153">
        <f t="shared" si="75"/>
        <v>0</v>
      </c>
      <c r="DJ27" s="153">
        <f t="shared" si="75"/>
        <v>0</v>
      </c>
      <c r="DK27" s="153">
        <f t="shared" si="75"/>
        <v>0</v>
      </c>
      <c r="DL27" s="153">
        <f t="shared" si="75"/>
        <v>0</v>
      </c>
      <c r="DM27" s="153">
        <f t="shared" si="75"/>
        <v>0</v>
      </c>
      <c r="DN27" s="153">
        <f t="shared" si="75"/>
        <v>0</v>
      </c>
      <c r="DO27" s="153">
        <f t="shared" si="75"/>
        <v>0</v>
      </c>
      <c r="DP27" s="153">
        <f t="shared" si="75"/>
        <v>0</v>
      </c>
      <c r="DQ27" s="153">
        <f t="shared" si="75"/>
        <v>0</v>
      </c>
      <c r="DR27" s="153">
        <f t="shared" si="75"/>
        <v>0</v>
      </c>
      <c r="DS27" s="153">
        <f t="shared" si="75"/>
        <v>0</v>
      </c>
      <c r="DT27" s="153">
        <f t="shared" si="75"/>
        <v>0</v>
      </c>
      <c r="DU27" s="153">
        <f t="shared" si="75"/>
        <v>0</v>
      </c>
      <c r="DV27" s="153">
        <f t="shared" si="75"/>
        <v>0</v>
      </c>
      <c r="DW27" s="153">
        <f t="shared" si="75"/>
        <v>0</v>
      </c>
      <c r="DX27" s="153">
        <f t="shared" si="75"/>
        <v>0</v>
      </c>
      <c r="DY27" s="153">
        <f t="shared" si="75"/>
        <v>0</v>
      </c>
      <c r="DZ27" s="153">
        <f t="shared" si="75"/>
        <v>0</v>
      </c>
      <c r="EA27" s="153">
        <f t="shared" si="75"/>
        <v>0</v>
      </c>
      <c r="EB27" s="153">
        <f t="shared" si="75"/>
        <v>0</v>
      </c>
      <c r="EC27" s="153">
        <f t="shared" si="75"/>
        <v>0</v>
      </c>
      <c r="ED27" s="153">
        <f t="shared" si="75"/>
        <v>0</v>
      </c>
      <c r="EE27" s="153">
        <f t="shared" si="75"/>
        <v>0</v>
      </c>
      <c r="EF27" s="153">
        <f t="shared" si="75"/>
        <v>0</v>
      </c>
      <c r="EG27" s="153">
        <f t="shared" si="75"/>
        <v>0</v>
      </c>
      <c r="EH27" s="153">
        <f t="shared" si="75"/>
        <v>0</v>
      </c>
      <c r="EI27" s="153">
        <f t="shared" si="75"/>
        <v>0</v>
      </c>
      <c r="EJ27" s="153">
        <f t="shared" si="75"/>
        <v>0</v>
      </c>
      <c r="EK27" s="153">
        <f t="shared" si="75"/>
        <v>0</v>
      </c>
      <c r="EL27" s="153">
        <f t="shared" si="75"/>
        <v>0</v>
      </c>
      <c r="EM27" s="153">
        <f t="shared" si="75"/>
        <v>0</v>
      </c>
      <c r="EN27" s="153">
        <f t="shared" si="75"/>
        <v>0</v>
      </c>
      <c r="EO27" s="153">
        <f t="shared" si="75"/>
        <v>0</v>
      </c>
      <c r="EP27" s="153">
        <f t="shared" si="75"/>
        <v>0</v>
      </c>
      <c r="EQ27" s="153">
        <f t="shared" si="75"/>
        <v>0</v>
      </c>
      <c r="ER27" s="153">
        <f t="shared" si="75"/>
        <v>0</v>
      </c>
      <c r="ES27" s="153">
        <f t="shared" si="75"/>
        <v>0</v>
      </c>
      <c r="ET27" s="153">
        <f t="shared" si="75"/>
        <v>0</v>
      </c>
      <c r="EU27" s="153">
        <f t="shared" ref="EU27:HF27" si="76">IF(EU7&gt;$E$11,0,MAX(ET25*$E$16,0))</f>
        <v>0</v>
      </c>
      <c r="EV27" s="153">
        <f t="shared" si="76"/>
        <v>0</v>
      </c>
      <c r="EW27" s="153">
        <f t="shared" si="76"/>
        <v>0</v>
      </c>
      <c r="EX27" s="153">
        <f t="shared" si="76"/>
        <v>0</v>
      </c>
      <c r="EY27" s="153">
        <f t="shared" si="76"/>
        <v>0</v>
      </c>
      <c r="EZ27" s="153">
        <f t="shared" si="76"/>
        <v>0</v>
      </c>
      <c r="FA27" s="153">
        <f t="shared" si="76"/>
        <v>0</v>
      </c>
      <c r="FB27" s="153">
        <f t="shared" si="76"/>
        <v>0</v>
      </c>
      <c r="FC27" s="153">
        <f t="shared" si="76"/>
        <v>0</v>
      </c>
      <c r="FD27" s="153">
        <f t="shared" si="76"/>
        <v>0</v>
      </c>
      <c r="FE27" s="153">
        <f t="shared" si="76"/>
        <v>0</v>
      </c>
      <c r="FF27" s="153">
        <f t="shared" si="76"/>
        <v>0</v>
      </c>
      <c r="FG27" s="153">
        <f t="shared" si="76"/>
        <v>0</v>
      </c>
      <c r="FH27" s="153">
        <f t="shared" si="76"/>
        <v>0</v>
      </c>
      <c r="FI27" s="153">
        <f t="shared" si="76"/>
        <v>0</v>
      </c>
      <c r="FJ27" s="153">
        <f t="shared" si="76"/>
        <v>0</v>
      </c>
      <c r="FK27" s="153">
        <f t="shared" si="76"/>
        <v>0</v>
      </c>
      <c r="FL27" s="153">
        <f t="shared" si="76"/>
        <v>0</v>
      </c>
      <c r="FM27" s="153">
        <f t="shared" si="76"/>
        <v>0</v>
      </c>
      <c r="FN27" s="153">
        <f t="shared" si="76"/>
        <v>0</v>
      </c>
      <c r="FO27" s="153">
        <f t="shared" si="76"/>
        <v>0</v>
      </c>
      <c r="FP27" s="153">
        <f t="shared" si="76"/>
        <v>0</v>
      </c>
      <c r="FQ27" s="153">
        <f t="shared" si="76"/>
        <v>0</v>
      </c>
      <c r="FR27" s="153">
        <f t="shared" si="76"/>
        <v>0</v>
      </c>
      <c r="FS27" s="153">
        <f t="shared" si="76"/>
        <v>0</v>
      </c>
      <c r="FT27" s="153">
        <f t="shared" si="76"/>
        <v>0</v>
      </c>
      <c r="FU27" s="153">
        <f t="shared" si="76"/>
        <v>0</v>
      </c>
      <c r="FV27" s="153">
        <f t="shared" si="76"/>
        <v>0</v>
      </c>
      <c r="FW27" s="153">
        <f t="shared" si="76"/>
        <v>0</v>
      </c>
      <c r="FX27" s="153">
        <f t="shared" si="76"/>
        <v>0</v>
      </c>
      <c r="FY27" s="153">
        <f t="shared" si="76"/>
        <v>0</v>
      </c>
      <c r="FZ27" s="153">
        <f t="shared" si="76"/>
        <v>0</v>
      </c>
      <c r="GA27" s="153">
        <f t="shared" si="76"/>
        <v>0</v>
      </c>
      <c r="GB27" s="153">
        <f t="shared" si="76"/>
        <v>0</v>
      </c>
      <c r="GC27" s="153">
        <f t="shared" si="76"/>
        <v>0</v>
      </c>
      <c r="GD27" s="153">
        <f t="shared" si="76"/>
        <v>0</v>
      </c>
      <c r="GE27" s="153">
        <f t="shared" si="76"/>
        <v>0</v>
      </c>
      <c r="GF27" s="153">
        <f t="shared" si="76"/>
        <v>0</v>
      </c>
      <c r="GG27" s="153">
        <f t="shared" si="76"/>
        <v>0</v>
      </c>
      <c r="GH27" s="153">
        <f t="shared" si="76"/>
        <v>0</v>
      </c>
      <c r="GI27" s="153">
        <f t="shared" si="76"/>
        <v>0</v>
      </c>
      <c r="GJ27" s="153">
        <f t="shared" si="76"/>
        <v>0</v>
      </c>
      <c r="GK27" s="153">
        <f t="shared" si="76"/>
        <v>0</v>
      </c>
      <c r="GL27" s="153">
        <f t="shared" si="76"/>
        <v>0</v>
      </c>
      <c r="GM27" s="153">
        <f t="shared" si="76"/>
        <v>0</v>
      </c>
      <c r="GN27" s="153">
        <f t="shared" si="76"/>
        <v>0</v>
      </c>
      <c r="GO27" s="153">
        <f t="shared" si="76"/>
        <v>0</v>
      </c>
      <c r="GP27" s="153">
        <f t="shared" si="76"/>
        <v>0</v>
      </c>
      <c r="GQ27" s="153">
        <f t="shared" si="76"/>
        <v>0</v>
      </c>
      <c r="GR27" s="153">
        <f t="shared" si="76"/>
        <v>0</v>
      </c>
      <c r="GS27" s="153">
        <f t="shared" si="76"/>
        <v>0</v>
      </c>
      <c r="GT27" s="153">
        <f t="shared" si="76"/>
        <v>0</v>
      </c>
      <c r="GU27" s="153">
        <f t="shared" si="76"/>
        <v>0</v>
      </c>
      <c r="GV27" s="153">
        <f t="shared" si="76"/>
        <v>0</v>
      </c>
      <c r="GW27" s="153">
        <f t="shared" si="76"/>
        <v>0</v>
      </c>
      <c r="GX27" s="153">
        <f t="shared" si="76"/>
        <v>0</v>
      </c>
      <c r="GY27" s="153">
        <f t="shared" si="76"/>
        <v>0</v>
      </c>
      <c r="GZ27" s="153">
        <f t="shared" si="76"/>
        <v>0</v>
      </c>
      <c r="HA27" s="153">
        <f t="shared" si="76"/>
        <v>0</v>
      </c>
      <c r="HB27" s="153">
        <f t="shared" si="76"/>
        <v>0</v>
      </c>
      <c r="HC27" s="153">
        <f t="shared" si="76"/>
        <v>0</v>
      </c>
      <c r="HD27" s="153">
        <f t="shared" si="76"/>
        <v>0</v>
      </c>
      <c r="HE27" s="153">
        <f t="shared" si="76"/>
        <v>0</v>
      </c>
      <c r="HF27" s="153">
        <f t="shared" si="76"/>
        <v>0</v>
      </c>
      <c r="HG27" s="153">
        <f t="shared" ref="HG27:IB27" si="77">IF(HG7&gt;$E$11,0,MAX(HF25*$E$16,0))</f>
        <v>0</v>
      </c>
      <c r="HH27" s="153">
        <f t="shared" si="77"/>
        <v>0</v>
      </c>
      <c r="HI27" s="153">
        <f t="shared" si="77"/>
        <v>0</v>
      </c>
      <c r="HJ27" s="153">
        <f t="shared" si="77"/>
        <v>0</v>
      </c>
      <c r="HK27" s="153">
        <f t="shared" si="77"/>
        <v>0</v>
      </c>
      <c r="HL27" s="153">
        <f t="shared" si="77"/>
        <v>0</v>
      </c>
      <c r="HM27" s="153">
        <f t="shared" si="77"/>
        <v>0</v>
      </c>
      <c r="HN27" s="153">
        <f t="shared" si="77"/>
        <v>0</v>
      </c>
      <c r="HO27" s="153">
        <f t="shared" si="77"/>
        <v>0</v>
      </c>
      <c r="HP27" s="153">
        <f t="shared" si="77"/>
        <v>0</v>
      </c>
      <c r="HQ27" s="153">
        <f t="shared" si="77"/>
        <v>0</v>
      </c>
      <c r="HR27" s="153">
        <f t="shared" si="77"/>
        <v>0</v>
      </c>
      <c r="HS27" s="153">
        <f t="shared" si="77"/>
        <v>0</v>
      </c>
      <c r="HT27" s="153">
        <f t="shared" si="77"/>
        <v>0</v>
      </c>
      <c r="HU27" s="153">
        <f t="shared" si="77"/>
        <v>0</v>
      </c>
      <c r="HV27" s="153">
        <f t="shared" si="77"/>
        <v>0</v>
      </c>
      <c r="HW27" s="153">
        <f t="shared" si="77"/>
        <v>0</v>
      </c>
      <c r="HX27" s="153">
        <f t="shared" si="77"/>
        <v>0</v>
      </c>
      <c r="HY27" s="153">
        <f t="shared" si="77"/>
        <v>0</v>
      </c>
      <c r="HZ27" s="153">
        <f t="shared" si="77"/>
        <v>0</v>
      </c>
      <c r="IA27" s="153">
        <f t="shared" si="77"/>
        <v>0</v>
      </c>
      <c r="IB27" s="153">
        <f t="shared" si="77"/>
        <v>0</v>
      </c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</row>
    <row r="28" spans="1:251" ht="18" customHeight="1" x14ac:dyDescent="0.3">
      <c r="C28" s="21"/>
      <c r="D28" s="54" t="s">
        <v>144</v>
      </c>
      <c r="E28" s="154">
        <f>IF(ISBLANK($G28),$F28,$G28)*A29</f>
        <v>0</v>
      </c>
      <c r="F28" s="155"/>
      <c r="G28" s="156"/>
      <c r="H28" s="25"/>
      <c r="I28" s="157" t="s">
        <v>54</v>
      </c>
      <c r="J28" s="158">
        <f>SUMIFS($U$25:$IB$25,$U$7:$IB$7,"="&amp;J$17)/Units</f>
        <v>183.508458172329</v>
      </c>
      <c r="K28" s="158">
        <f>SUMIFS($U$25:$IB$25,$U$7:$IB$7,"="&amp;K$17)/Units</f>
        <v>232.12476198345146</v>
      </c>
      <c r="L28" s="158">
        <f t="shared" ref="L28:P28" si="78">SUMIFS($U$25:$IB$25,$U$7:$IB$7,"="&amp;L$17)/Units</f>
        <v>184.07089125297756</v>
      </c>
      <c r="M28" s="158">
        <f t="shared" si="78"/>
        <v>64.894010316731709</v>
      </c>
      <c r="N28" s="158">
        <f t="shared" si="78"/>
        <v>0</v>
      </c>
      <c r="O28" s="158">
        <f t="shared" si="78"/>
        <v>0</v>
      </c>
      <c r="P28" s="158">
        <f t="shared" si="78"/>
        <v>0</v>
      </c>
      <c r="Q28" s="159" t="s">
        <v>39</v>
      </c>
      <c r="R28" s="152"/>
      <c r="S28" s="1"/>
      <c r="T28" s="34" t="s">
        <v>55</v>
      </c>
      <c r="U28" s="34"/>
      <c r="V28" s="153">
        <f>IF(AND($E$21=TRUE,V7&lt;=$E$9),-U10*($E$20/12),IF(U17&gt;0,-U17*($E$20/12),0))</f>
        <v>-64018.798143750006</v>
      </c>
      <c r="W28" s="153">
        <f t="shared" ref="W28:CG28" si="79">IF(AND($E$21=TRUE,W7&lt;=$E$9),-V10*($E$20/12),IF(V17&gt;0,-V17*($E$20/12),0))</f>
        <v>-67840.670469097226</v>
      </c>
      <c r="X28" s="153">
        <f t="shared" si="79"/>
        <v>-71662.542794444453</v>
      </c>
      <c r="Y28" s="153">
        <f t="shared" si="79"/>
        <v>-75484.41511979168</v>
      </c>
      <c r="Z28" s="153">
        <f>IF(AND($E$21=TRUE,Z7&lt;=$E$9),-Y10*($E$20/12),IF(Y17&gt;0,-Y17*($E$20/12),0))</f>
        <v>-79306.287445138893</v>
      </c>
      <c r="AA28" s="153">
        <f t="shared" si="79"/>
        <v>-83128.15977048612</v>
      </c>
      <c r="AB28" s="153">
        <f t="shared" si="79"/>
        <v>-86950.032095833347</v>
      </c>
      <c r="AC28" s="153">
        <f t="shared" si="79"/>
        <v>-90771.904421180559</v>
      </c>
      <c r="AD28" s="153">
        <f t="shared" si="79"/>
        <v>-94593.776746527772</v>
      </c>
      <c r="AE28" s="153">
        <f t="shared" si="79"/>
        <v>-98415.649071874999</v>
      </c>
      <c r="AF28" s="153">
        <f t="shared" si="79"/>
        <v>-102237.52139722221</v>
      </c>
      <c r="AG28" s="153">
        <f t="shared" si="79"/>
        <v>-106059.39372256942</v>
      </c>
      <c r="AH28" s="153">
        <f t="shared" si="79"/>
        <v>-109881.26604791665</v>
      </c>
      <c r="AI28" s="153">
        <f t="shared" si="79"/>
        <v>-113703.13837326389</v>
      </c>
      <c r="AJ28" s="153">
        <f t="shared" si="79"/>
        <v>-117525.01069861111</v>
      </c>
      <c r="AK28" s="153">
        <f t="shared" si="79"/>
        <v>-121346.88302395832</v>
      </c>
      <c r="AL28" s="153">
        <f t="shared" si="79"/>
        <v>-125168.75534930556</v>
      </c>
      <c r="AM28" s="153">
        <f t="shared" si="79"/>
        <v>-128990.62767465279</v>
      </c>
      <c r="AN28" s="153">
        <f t="shared" si="79"/>
        <v>-132812.5</v>
      </c>
      <c r="AO28" s="153">
        <f t="shared" si="79"/>
        <v>-132812.5</v>
      </c>
      <c r="AP28" s="153">
        <f t="shared" si="79"/>
        <v>-132812.5</v>
      </c>
      <c r="AQ28" s="153">
        <f t="shared" si="79"/>
        <v>-132812.5</v>
      </c>
      <c r="AR28" s="153">
        <f t="shared" si="79"/>
        <v>-132812.5</v>
      </c>
      <c r="AS28" s="153">
        <f t="shared" si="79"/>
        <v>-132812.5</v>
      </c>
      <c r="AT28" s="153">
        <f t="shared" si="79"/>
        <v>-132812.5</v>
      </c>
      <c r="AU28" s="153">
        <f t="shared" si="79"/>
        <v>-132812.5</v>
      </c>
      <c r="AV28" s="153">
        <f t="shared" si="79"/>
        <v>-132812.5</v>
      </c>
      <c r="AW28" s="153">
        <f t="shared" si="79"/>
        <v>-132812.5</v>
      </c>
      <c r="AX28" s="153">
        <f t="shared" si="79"/>
        <v>-132812.5</v>
      </c>
      <c r="AY28" s="153">
        <f t="shared" si="79"/>
        <v>-132812.5</v>
      </c>
      <c r="AZ28" s="153">
        <f t="shared" si="79"/>
        <v>-132812.5</v>
      </c>
      <c r="BA28" s="153">
        <f t="shared" si="79"/>
        <v>-127278.64583333334</v>
      </c>
      <c r="BB28" s="153">
        <f t="shared" si="79"/>
        <v>-121744.79166666669</v>
      </c>
      <c r="BC28" s="153">
        <f t="shared" si="79"/>
        <v>-116210.93750000001</v>
      </c>
      <c r="BD28" s="153">
        <f t="shared" si="79"/>
        <v>-110677.08333333336</v>
      </c>
      <c r="BE28" s="153">
        <f t="shared" si="79"/>
        <v>-105143.2291666667</v>
      </c>
      <c r="BF28" s="153">
        <f t="shared" si="79"/>
        <v>-99609.375000000044</v>
      </c>
      <c r="BG28" s="153">
        <f t="shared" si="79"/>
        <v>-94075.520833333372</v>
      </c>
      <c r="BH28" s="153">
        <f t="shared" si="79"/>
        <v>-88541.666666666715</v>
      </c>
      <c r="BI28" s="153">
        <f t="shared" si="79"/>
        <v>-83007.812500000044</v>
      </c>
      <c r="BJ28" s="153">
        <f t="shared" si="79"/>
        <v>-77473.958333333372</v>
      </c>
      <c r="BK28" s="153">
        <f t="shared" si="79"/>
        <v>-71940.104166666715</v>
      </c>
      <c r="BL28" s="153">
        <f t="shared" si="79"/>
        <v>-66406.250000000044</v>
      </c>
      <c r="BM28" s="153">
        <f t="shared" si="79"/>
        <v>-60872.395833333372</v>
      </c>
      <c r="BN28" s="153">
        <f t="shared" si="79"/>
        <v>-55338.541666666701</v>
      </c>
      <c r="BO28" s="153">
        <f t="shared" si="79"/>
        <v>-49804.687500000029</v>
      </c>
      <c r="BP28" s="153">
        <f t="shared" si="79"/>
        <v>-44270.833333333358</v>
      </c>
      <c r="BQ28" s="153">
        <f t="shared" si="79"/>
        <v>-38736.979166666686</v>
      </c>
      <c r="BR28" s="153">
        <f t="shared" si="79"/>
        <v>-33203.125000000022</v>
      </c>
      <c r="BS28" s="153">
        <f t="shared" si="79"/>
        <v>-27669.27083333335</v>
      </c>
      <c r="BT28" s="153">
        <f t="shared" si="79"/>
        <v>-22135.416666666679</v>
      </c>
      <c r="BU28" s="153">
        <f t="shared" si="79"/>
        <v>-16601.562500000011</v>
      </c>
      <c r="BV28" s="153">
        <f t="shared" si="79"/>
        <v>-11067.708333333339</v>
      </c>
      <c r="BW28" s="153">
        <f t="shared" si="79"/>
        <v>-5533.8541666666697</v>
      </c>
      <c r="BX28" s="153">
        <f t="shared" si="79"/>
        <v>0</v>
      </c>
      <c r="BY28" s="153">
        <f t="shared" si="79"/>
        <v>0</v>
      </c>
      <c r="BZ28" s="153">
        <f t="shared" si="79"/>
        <v>0</v>
      </c>
      <c r="CA28" s="153">
        <f t="shared" si="79"/>
        <v>0</v>
      </c>
      <c r="CB28" s="153">
        <f t="shared" si="79"/>
        <v>0</v>
      </c>
      <c r="CC28" s="153">
        <f t="shared" si="79"/>
        <v>0</v>
      </c>
      <c r="CD28" s="153">
        <f t="shared" si="79"/>
        <v>0</v>
      </c>
      <c r="CE28" s="153">
        <f t="shared" si="79"/>
        <v>0</v>
      </c>
      <c r="CF28" s="153">
        <f t="shared" si="79"/>
        <v>0</v>
      </c>
      <c r="CG28" s="153">
        <f t="shared" si="79"/>
        <v>0</v>
      </c>
      <c r="CH28" s="153">
        <f t="shared" ref="CH28:ES28" si="80">IF(AND($E$21=TRUE,CH7&lt;=$E$9),-CG10*($E$20/12),IF(CG17&gt;0,-CG17*($E$20/12),0))</f>
        <v>0</v>
      </c>
      <c r="CI28" s="153">
        <f t="shared" si="80"/>
        <v>0</v>
      </c>
      <c r="CJ28" s="153">
        <f t="shared" si="80"/>
        <v>0</v>
      </c>
      <c r="CK28" s="153">
        <f t="shared" si="80"/>
        <v>0</v>
      </c>
      <c r="CL28" s="153">
        <f t="shared" si="80"/>
        <v>0</v>
      </c>
      <c r="CM28" s="153">
        <f t="shared" si="80"/>
        <v>0</v>
      </c>
      <c r="CN28" s="153">
        <f t="shared" si="80"/>
        <v>0</v>
      </c>
      <c r="CO28" s="153">
        <f t="shared" si="80"/>
        <v>0</v>
      </c>
      <c r="CP28" s="153">
        <f t="shared" si="80"/>
        <v>0</v>
      </c>
      <c r="CQ28" s="153">
        <f t="shared" si="80"/>
        <v>0</v>
      </c>
      <c r="CR28" s="153">
        <f t="shared" si="80"/>
        <v>0</v>
      </c>
      <c r="CS28" s="153">
        <f t="shared" si="80"/>
        <v>0</v>
      </c>
      <c r="CT28" s="153">
        <f t="shared" si="80"/>
        <v>0</v>
      </c>
      <c r="CU28" s="153">
        <f t="shared" si="80"/>
        <v>0</v>
      </c>
      <c r="CV28" s="153">
        <f t="shared" si="80"/>
        <v>0</v>
      </c>
      <c r="CW28" s="153">
        <f t="shared" si="80"/>
        <v>0</v>
      </c>
      <c r="CX28" s="153">
        <f t="shared" si="80"/>
        <v>0</v>
      </c>
      <c r="CY28" s="153">
        <f t="shared" si="80"/>
        <v>0</v>
      </c>
      <c r="CZ28" s="153">
        <f t="shared" si="80"/>
        <v>0</v>
      </c>
      <c r="DA28" s="153">
        <f t="shared" si="80"/>
        <v>0</v>
      </c>
      <c r="DB28" s="153">
        <f t="shared" si="80"/>
        <v>0</v>
      </c>
      <c r="DC28" s="153">
        <f t="shared" si="80"/>
        <v>0</v>
      </c>
      <c r="DD28" s="153">
        <f t="shared" si="80"/>
        <v>0</v>
      </c>
      <c r="DE28" s="153">
        <f t="shared" si="80"/>
        <v>0</v>
      </c>
      <c r="DF28" s="153">
        <f t="shared" si="80"/>
        <v>0</v>
      </c>
      <c r="DG28" s="153">
        <f t="shared" si="80"/>
        <v>0</v>
      </c>
      <c r="DH28" s="153">
        <f t="shared" si="80"/>
        <v>0</v>
      </c>
      <c r="DI28" s="153">
        <f t="shared" si="80"/>
        <v>0</v>
      </c>
      <c r="DJ28" s="153">
        <f t="shared" si="80"/>
        <v>0</v>
      </c>
      <c r="DK28" s="153">
        <f t="shared" si="80"/>
        <v>0</v>
      </c>
      <c r="DL28" s="153">
        <f t="shared" si="80"/>
        <v>0</v>
      </c>
      <c r="DM28" s="153">
        <f t="shared" si="80"/>
        <v>0</v>
      </c>
      <c r="DN28" s="153">
        <f t="shared" si="80"/>
        <v>0</v>
      </c>
      <c r="DO28" s="153">
        <f t="shared" si="80"/>
        <v>0</v>
      </c>
      <c r="DP28" s="153">
        <f t="shared" si="80"/>
        <v>0</v>
      </c>
      <c r="DQ28" s="153">
        <f t="shared" si="80"/>
        <v>0</v>
      </c>
      <c r="DR28" s="153">
        <f t="shared" si="80"/>
        <v>0</v>
      </c>
      <c r="DS28" s="153">
        <f t="shared" si="80"/>
        <v>0</v>
      </c>
      <c r="DT28" s="153">
        <f t="shared" si="80"/>
        <v>0</v>
      </c>
      <c r="DU28" s="153">
        <f t="shared" si="80"/>
        <v>0</v>
      </c>
      <c r="DV28" s="153">
        <f t="shared" si="80"/>
        <v>0</v>
      </c>
      <c r="DW28" s="153">
        <f t="shared" si="80"/>
        <v>0</v>
      </c>
      <c r="DX28" s="153">
        <f t="shared" si="80"/>
        <v>0</v>
      </c>
      <c r="DY28" s="153">
        <f t="shared" si="80"/>
        <v>0</v>
      </c>
      <c r="DZ28" s="153">
        <f t="shared" si="80"/>
        <v>0</v>
      </c>
      <c r="EA28" s="153">
        <f t="shared" si="80"/>
        <v>0</v>
      </c>
      <c r="EB28" s="153">
        <f t="shared" si="80"/>
        <v>0</v>
      </c>
      <c r="EC28" s="153">
        <f t="shared" si="80"/>
        <v>0</v>
      </c>
      <c r="ED28" s="153">
        <f t="shared" si="80"/>
        <v>0</v>
      </c>
      <c r="EE28" s="153">
        <f t="shared" si="80"/>
        <v>0</v>
      </c>
      <c r="EF28" s="153">
        <f t="shared" si="80"/>
        <v>0</v>
      </c>
      <c r="EG28" s="153">
        <f t="shared" si="80"/>
        <v>0</v>
      </c>
      <c r="EH28" s="153">
        <f t="shared" si="80"/>
        <v>0</v>
      </c>
      <c r="EI28" s="153">
        <f t="shared" si="80"/>
        <v>0</v>
      </c>
      <c r="EJ28" s="153">
        <f t="shared" si="80"/>
        <v>0</v>
      </c>
      <c r="EK28" s="153">
        <f t="shared" si="80"/>
        <v>0</v>
      </c>
      <c r="EL28" s="153">
        <f t="shared" si="80"/>
        <v>0</v>
      </c>
      <c r="EM28" s="153">
        <f t="shared" si="80"/>
        <v>0</v>
      </c>
      <c r="EN28" s="153">
        <f t="shared" si="80"/>
        <v>0</v>
      </c>
      <c r="EO28" s="153">
        <f t="shared" si="80"/>
        <v>0</v>
      </c>
      <c r="EP28" s="153">
        <f t="shared" si="80"/>
        <v>0</v>
      </c>
      <c r="EQ28" s="153">
        <f t="shared" si="80"/>
        <v>0</v>
      </c>
      <c r="ER28" s="153">
        <f t="shared" si="80"/>
        <v>0</v>
      </c>
      <c r="ES28" s="153">
        <f t="shared" si="80"/>
        <v>0</v>
      </c>
      <c r="ET28" s="153">
        <f t="shared" ref="ET28:HE28" si="81">IF(AND($E$21=TRUE,ET7&lt;=$E$9),-ES10*($E$20/12),IF(ES17&gt;0,-ES17*($E$20/12),0))</f>
        <v>0</v>
      </c>
      <c r="EU28" s="153">
        <f t="shared" si="81"/>
        <v>0</v>
      </c>
      <c r="EV28" s="153">
        <f t="shared" si="81"/>
        <v>0</v>
      </c>
      <c r="EW28" s="153">
        <f t="shared" si="81"/>
        <v>0</v>
      </c>
      <c r="EX28" s="153">
        <f t="shared" si="81"/>
        <v>0</v>
      </c>
      <c r="EY28" s="153">
        <f t="shared" si="81"/>
        <v>0</v>
      </c>
      <c r="EZ28" s="153">
        <f t="shared" si="81"/>
        <v>0</v>
      </c>
      <c r="FA28" s="153">
        <f t="shared" si="81"/>
        <v>0</v>
      </c>
      <c r="FB28" s="153">
        <f t="shared" si="81"/>
        <v>0</v>
      </c>
      <c r="FC28" s="153">
        <f t="shared" si="81"/>
        <v>0</v>
      </c>
      <c r="FD28" s="153">
        <f t="shared" si="81"/>
        <v>0</v>
      </c>
      <c r="FE28" s="153">
        <f t="shared" si="81"/>
        <v>0</v>
      </c>
      <c r="FF28" s="153">
        <f t="shared" si="81"/>
        <v>0</v>
      </c>
      <c r="FG28" s="153">
        <f t="shared" si="81"/>
        <v>0</v>
      </c>
      <c r="FH28" s="153">
        <f t="shared" si="81"/>
        <v>0</v>
      </c>
      <c r="FI28" s="153">
        <f t="shared" si="81"/>
        <v>0</v>
      </c>
      <c r="FJ28" s="153">
        <f t="shared" si="81"/>
        <v>0</v>
      </c>
      <c r="FK28" s="153">
        <f t="shared" si="81"/>
        <v>0</v>
      </c>
      <c r="FL28" s="153">
        <f t="shared" si="81"/>
        <v>0</v>
      </c>
      <c r="FM28" s="153">
        <f t="shared" si="81"/>
        <v>0</v>
      </c>
      <c r="FN28" s="153">
        <f t="shared" si="81"/>
        <v>0</v>
      </c>
      <c r="FO28" s="153">
        <f t="shared" si="81"/>
        <v>0</v>
      </c>
      <c r="FP28" s="153">
        <f t="shared" si="81"/>
        <v>0</v>
      </c>
      <c r="FQ28" s="153">
        <f t="shared" si="81"/>
        <v>0</v>
      </c>
      <c r="FR28" s="153">
        <f t="shared" si="81"/>
        <v>0</v>
      </c>
      <c r="FS28" s="153">
        <f t="shared" si="81"/>
        <v>0</v>
      </c>
      <c r="FT28" s="153">
        <f t="shared" si="81"/>
        <v>0</v>
      </c>
      <c r="FU28" s="153">
        <f t="shared" si="81"/>
        <v>0</v>
      </c>
      <c r="FV28" s="153">
        <f t="shared" si="81"/>
        <v>0</v>
      </c>
      <c r="FW28" s="153">
        <f t="shared" si="81"/>
        <v>0</v>
      </c>
      <c r="FX28" s="153">
        <f t="shared" si="81"/>
        <v>0</v>
      </c>
      <c r="FY28" s="153">
        <f t="shared" si="81"/>
        <v>0</v>
      </c>
      <c r="FZ28" s="153">
        <f t="shared" si="81"/>
        <v>0</v>
      </c>
      <c r="GA28" s="153">
        <f t="shared" si="81"/>
        <v>0</v>
      </c>
      <c r="GB28" s="153">
        <f t="shared" si="81"/>
        <v>0</v>
      </c>
      <c r="GC28" s="153">
        <f t="shared" si="81"/>
        <v>0</v>
      </c>
      <c r="GD28" s="153">
        <f t="shared" si="81"/>
        <v>0</v>
      </c>
      <c r="GE28" s="153">
        <f t="shared" si="81"/>
        <v>0</v>
      </c>
      <c r="GF28" s="153">
        <f t="shared" si="81"/>
        <v>0</v>
      </c>
      <c r="GG28" s="153">
        <f t="shared" si="81"/>
        <v>0</v>
      </c>
      <c r="GH28" s="153">
        <f t="shared" si="81"/>
        <v>0</v>
      </c>
      <c r="GI28" s="153">
        <f t="shared" si="81"/>
        <v>0</v>
      </c>
      <c r="GJ28" s="153">
        <f t="shared" si="81"/>
        <v>0</v>
      </c>
      <c r="GK28" s="153">
        <f t="shared" si="81"/>
        <v>0</v>
      </c>
      <c r="GL28" s="153">
        <f t="shared" si="81"/>
        <v>0</v>
      </c>
      <c r="GM28" s="153">
        <f t="shared" si="81"/>
        <v>0</v>
      </c>
      <c r="GN28" s="153">
        <f t="shared" si="81"/>
        <v>0</v>
      </c>
      <c r="GO28" s="153">
        <f t="shared" si="81"/>
        <v>0</v>
      </c>
      <c r="GP28" s="153">
        <f t="shared" si="81"/>
        <v>0</v>
      </c>
      <c r="GQ28" s="153">
        <f t="shared" si="81"/>
        <v>0</v>
      </c>
      <c r="GR28" s="153">
        <f t="shared" si="81"/>
        <v>0</v>
      </c>
      <c r="GS28" s="153">
        <f t="shared" si="81"/>
        <v>0</v>
      </c>
      <c r="GT28" s="153">
        <f t="shared" si="81"/>
        <v>0</v>
      </c>
      <c r="GU28" s="153">
        <f t="shared" si="81"/>
        <v>0</v>
      </c>
      <c r="GV28" s="153">
        <f t="shared" si="81"/>
        <v>0</v>
      </c>
      <c r="GW28" s="153">
        <f t="shared" si="81"/>
        <v>0</v>
      </c>
      <c r="GX28" s="153">
        <f t="shared" si="81"/>
        <v>0</v>
      </c>
      <c r="GY28" s="153">
        <f t="shared" si="81"/>
        <v>0</v>
      </c>
      <c r="GZ28" s="153">
        <f t="shared" si="81"/>
        <v>0</v>
      </c>
      <c r="HA28" s="153">
        <f t="shared" si="81"/>
        <v>0</v>
      </c>
      <c r="HB28" s="153">
        <f t="shared" si="81"/>
        <v>0</v>
      </c>
      <c r="HC28" s="153">
        <f t="shared" si="81"/>
        <v>0</v>
      </c>
      <c r="HD28" s="153">
        <f t="shared" si="81"/>
        <v>0</v>
      </c>
      <c r="HE28" s="153">
        <f t="shared" si="81"/>
        <v>0</v>
      </c>
      <c r="HF28" s="153">
        <f t="shared" ref="HF28:IB28" si="82">IF(AND($E$21=TRUE,HF7&lt;=$E$9),-HE10*($E$20/12),IF(HE17&gt;0,-HE17*($E$20/12),0))</f>
        <v>0</v>
      </c>
      <c r="HG28" s="153">
        <f t="shared" si="82"/>
        <v>0</v>
      </c>
      <c r="HH28" s="153">
        <f t="shared" si="82"/>
        <v>0</v>
      </c>
      <c r="HI28" s="153">
        <f t="shared" si="82"/>
        <v>0</v>
      </c>
      <c r="HJ28" s="153">
        <f t="shared" si="82"/>
        <v>0</v>
      </c>
      <c r="HK28" s="153">
        <f t="shared" si="82"/>
        <v>0</v>
      </c>
      <c r="HL28" s="153">
        <f t="shared" si="82"/>
        <v>0</v>
      </c>
      <c r="HM28" s="153">
        <f t="shared" si="82"/>
        <v>0</v>
      </c>
      <c r="HN28" s="153">
        <f t="shared" si="82"/>
        <v>0</v>
      </c>
      <c r="HO28" s="153">
        <f t="shared" si="82"/>
        <v>0</v>
      </c>
      <c r="HP28" s="153">
        <f t="shared" si="82"/>
        <v>0</v>
      </c>
      <c r="HQ28" s="153">
        <f t="shared" si="82"/>
        <v>0</v>
      </c>
      <c r="HR28" s="153">
        <f t="shared" si="82"/>
        <v>0</v>
      </c>
      <c r="HS28" s="153">
        <f t="shared" si="82"/>
        <v>0</v>
      </c>
      <c r="HT28" s="153">
        <f t="shared" si="82"/>
        <v>0</v>
      </c>
      <c r="HU28" s="153">
        <f t="shared" si="82"/>
        <v>0</v>
      </c>
      <c r="HV28" s="153">
        <f t="shared" si="82"/>
        <v>0</v>
      </c>
      <c r="HW28" s="153">
        <f t="shared" si="82"/>
        <v>0</v>
      </c>
      <c r="HX28" s="153">
        <f t="shared" si="82"/>
        <v>0</v>
      </c>
      <c r="HY28" s="153">
        <f t="shared" si="82"/>
        <v>0</v>
      </c>
      <c r="HZ28" s="153">
        <f t="shared" si="82"/>
        <v>0</v>
      </c>
      <c r="IA28" s="153">
        <f t="shared" si="82"/>
        <v>0</v>
      </c>
      <c r="IB28" s="153">
        <f t="shared" si="82"/>
        <v>0</v>
      </c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</row>
    <row r="29" spans="1:251" ht="18" customHeight="1" x14ac:dyDescent="0.3">
      <c r="A29" s="160">
        <v>1</v>
      </c>
      <c r="D29" s="161" t="s">
        <v>145</v>
      </c>
      <c r="E29" s="162">
        <f>IF(ISBLANK($G29),$F29,EOMONTH($G29,0))</f>
        <v>0</v>
      </c>
      <c r="F29" s="163"/>
      <c r="G29" s="164"/>
      <c r="H29" s="25"/>
      <c r="I29" s="42" t="s">
        <v>56</v>
      </c>
      <c r="J29" s="99">
        <f>ROUND(SUM(J24:J27)-J28,8)</f>
        <v>0</v>
      </c>
      <c r="K29" s="99">
        <f t="shared" ref="K29:P29" si="83">ROUND(SUM(K24:K27)-K28,8)</f>
        <v>0</v>
      </c>
      <c r="L29" s="99">
        <f t="shared" si="83"/>
        <v>0</v>
      </c>
      <c r="M29" s="99">
        <f t="shared" si="83"/>
        <v>0</v>
      </c>
      <c r="N29" s="99">
        <f t="shared" si="83"/>
        <v>0</v>
      </c>
      <c r="O29" s="99">
        <f t="shared" si="83"/>
        <v>0</v>
      </c>
      <c r="P29" s="99">
        <f t="shared" si="83"/>
        <v>0</v>
      </c>
      <c r="Q29" s="132"/>
      <c r="R29" s="152"/>
      <c r="S29" s="1"/>
      <c r="T29" s="34" t="s">
        <v>57</v>
      </c>
      <c r="U29" s="34"/>
      <c r="V29" s="58">
        <f>V27+V28</f>
        <v>1298287.2500473647</v>
      </c>
      <c r="W29" s="58">
        <f t="shared" ref="W29:CH29" si="84">W27+W28</f>
        <v>1382054.7131633158</v>
      </c>
      <c r="X29" s="58">
        <f t="shared" si="84"/>
        <v>1466228.1524979468</v>
      </c>
      <c r="Y29" s="58">
        <f t="shared" si="84"/>
        <v>1550809.6570761797</v>
      </c>
      <c r="Z29" s="58">
        <f t="shared" si="84"/>
        <v>1635801.3266723978</v>
      </c>
      <c r="AA29" s="58">
        <f t="shared" si="84"/>
        <v>1721205.2718657567</v>
      </c>
      <c r="AB29" s="58">
        <f t="shared" si="84"/>
        <v>1807023.614095784</v>
      </c>
      <c r="AC29" s="58">
        <f t="shared" si="84"/>
        <v>1893258.4857182626</v>
      </c>
      <c r="AD29" s="58">
        <f t="shared" si="84"/>
        <v>1979912.030061401</v>
      </c>
      <c r="AE29" s="58">
        <f t="shared" si="84"/>
        <v>2066986.4014822971</v>
      </c>
      <c r="AF29" s="58">
        <f t="shared" si="84"/>
        <v>2154483.7654236867</v>
      </c>
      <c r="AG29" s="58">
        <f t="shared" si="84"/>
        <v>2242406.2984709865</v>
      </c>
      <c r="AH29" s="58">
        <f t="shared" si="84"/>
        <v>2330756.1884096335</v>
      </c>
      <c r="AI29" s="58">
        <f t="shared" si="84"/>
        <v>2419535.6342827138</v>
      </c>
      <c r="AJ29" s="58">
        <f t="shared" si="84"/>
        <v>2508746.8464488923</v>
      </c>
      <c r="AK29" s="58">
        <f t="shared" si="84"/>
        <v>2598392.0466406383</v>
      </c>
      <c r="AL29" s="58">
        <f t="shared" si="84"/>
        <v>2688473.4680227535</v>
      </c>
      <c r="AM29" s="58">
        <f t="shared" si="84"/>
        <v>2778993.3552511968</v>
      </c>
      <c r="AN29" s="58">
        <f t="shared" si="84"/>
        <v>2869953.9645322151</v>
      </c>
      <c r="AO29" s="58">
        <f t="shared" si="84"/>
        <v>2883850.8272984182</v>
      </c>
      <c r="AP29" s="58">
        <f t="shared" si="84"/>
        <v>2897819.1989149684</v>
      </c>
      <c r="AQ29" s="58">
        <f t="shared" si="84"/>
        <v>2911859.4473437415</v>
      </c>
      <c r="AR29" s="58">
        <f t="shared" si="84"/>
        <v>2925971.9424400274</v>
      </c>
      <c r="AS29" s="58">
        <f t="shared" si="84"/>
        <v>2940157.0559622748</v>
      </c>
      <c r="AT29" s="58">
        <f t="shared" si="84"/>
        <v>2954415.1615818809</v>
      </c>
      <c r="AU29" s="58">
        <f t="shared" si="84"/>
        <v>2968746.6348930416</v>
      </c>
      <c r="AV29" s="58">
        <f t="shared" si="84"/>
        <v>2983151.8534226385</v>
      </c>
      <c r="AW29" s="58">
        <f t="shared" si="84"/>
        <v>2997631.1966401869</v>
      </c>
      <c r="AX29" s="58">
        <f t="shared" si="84"/>
        <v>3012185.0459678341</v>
      </c>
      <c r="AY29" s="58">
        <f t="shared" si="84"/>
        <v>3026813.7847904032</v>
      </c>
      <c r="AZ29" s="58">
        <f t="shared" si="84"/>
        <v>3041517.7984654936</v>
      </c>
      <c r="BA29" s="58">
        <f t="shared" si="84"/>
        <v>2928951.7462363988</v>
      </c>
      <c r="BB29" s="58">
        <f t="shared" si="84"/>
        <v>2815223.7682511103</v>
      </c>
      <c r="BC29" s="58">
        <f t="shared" si="84"/>
        <v>2700324.7004887047</v>
      </c>
      <c r="BD29" s="58">
        <f t="shared" si="84"/>
        <v>2584245.3153834986</v>
      </c>
      <c r="BE29" s="58">
        <f t="shared" si="84"/>
        <v>2466976.3214137326</v>
      </c>
      <c r="BF29" s="58">
        <f t="shared" si="84"/>
        <v>2348508.3626876981</v>
      </c>
      <c r="BG29" s="58">
        <f t="shared" si="84"/>
        <v>2228832.0185273122</v>
      </c>
      <c r="BH29" s="58">
        <f t="shared" si="84"/>
        <v>2107937.8030490959</v>
      </c>
      <c r="BI29" s="58">
        <f t="shared" si="84"/>
        <v>1985816.1647425669</v>
      </c>
      <c r="BJ29" s="58">
        <f t="shared" si="84"/>
        <v>1862457.4860460148</v>
      </c>
      <c r="BK29" s="58">
        <f t="shared" si="84"/>
        <v>1737852.0829196491</v>
      </c>
      <c r="BL29" s="58">
        <f t="shared" si="84"/>
        <v>1611990.204416103</v>
      </c>
      <c r="BM29" s="58">
        <f t="shared" si="84"/>
        <v>1484862.0322482777</v>
      </c>
      <c r="BN29" s="58">
        <f t="shared" si="84"/>
        <v>1356457.68035451</v>
      </c>
      <c r="BO29" s="58">
        <f t="shared" si="84"/>
        <v>1226767.1944610516</v>
      </c>
      <c r="BP29" s="58">
        <f t="shared" si="84"/>
        <v>1095780.5516418323</v>
      </c>
      <c r="BQ29" s="58">
        <f t="shared" si="84"/>
        <v>963487.65987550816</v>
      </c>
      <c r="BR29" s="58">
        <f t="shared" si="84"/>
        <v>829878.35759976169</v>
      </c>
      <c r="BS29" s="58">
        <f t="shared" si="84"/>
        <v>694942.41326284781</v>
      </c>
      <c r="BT29" s="58">
        <f t="shared" si="84"/>
        <v>558669.52487236646</v>
      </c>
      <c r="BU29" s="58">
        <f t="shared" si="84"/>
        <v>421049.31954124215</v>
      </c>
      <c r="BV29" s="58">
        <f t="shared" si="84"/>
        <v>282071.35303089884</v>
      </c>
      <c r="BW29" s="58">
        <f t="shared" si="84"/>
        <v>141725.1092916085</v>
      </c>
      <c r="BX29" s="58">
        <f t="shared" si="84"/>
        <v>0</v>
      </c>
      <c r="BY29" s="58">
        <f t="shared" si="84"/>
        <v>0</v>
      </c>
      <c r="BZ29" s="58">
        <f t="shared" si="84"/>
        <v>0</v>
      </c>
      <c r="CA29" s="58">
        <f t="shared" si="84"/>
        <v>0</v>
      </c>
      <c r="CB29" s="58">
        <f t="shared" si="84"/>
        <v>0</v>
      </c>
      <c r="CC29" s="58">
        <f t="shared" si="84"/>
        <v>0</v>
      </c>
      <c r="CD29" s="58">
        <f t="shared" si="84"/>
        <v>0</v>
      </c>
      <c r="CE29" s="58">
        <f t="shared" si="84"/>
        <v>0</v>
      </c>
      <c r="CF29" s="58">
        <f t="shared" si="84"/>
        <v>0</v>
      </c>
      <c r="CG29" s="58">
        <f t="shared" si="84"/>
        <v>0</v>
      </c>
      <c r="CH29" s="58">
        <f t="shared" si="84"/>
        <v>0</v>
      </c>
      <c r="CI29" s="58">
        <f t="shared" ref="CI29:ET29" si="85">CI27+CI28</f>
        <v>0</v>
      </c>
      <c r="CJ29" s="58">
        <f t="shared" si="85"/>
        <v>0</v>
      </c>
      <c r="CK29" s="58">
        <f t="shared" si="85"/>
        <v>0</v>
      </c>
      <c r="CL29" s="58">
        <f t="shared" si="85"/>
        <v>0</v>
      </c>
      <c r="CM29" s="58">
        <f t="shared" si="85"/>
        <v>0</v>
      </c>
      <c r="CN29" s="58">
        <f t="shared" si="85"/>
        <v>0</v>
      </c>
      <c r="CO29" s="58">
        <f t="shared" si="85"/>
        <v>0</v>
      </c>
      <c r="CP29" s="58">
        <f t="shared" si="85"/>
        <v>0</v>
      </c>
      <c r="CQ29" s="58">
        <f t="shared" si="85"/>
        <v>0</v>
      </c>
      <c r="CR29" s="58">
        <f t="shared" si="85"/>
        <v>0</v>
      </c>
      <c r="CS29" s="58">
        <f t="shared" si="85"/>
        <v>0</v>
      </c>
      <c r="CT29" s="58">
        <f t="shared" si="85"/>
        <v>0</v>
      </c>
      <c r="CU29" s="58">
        <f t="shared" si="85"/>
        <v>0</v>
      </c>
      <c r="CV29" s="58">
        <f t="shared" si="85"/>
        <v>0</v>
      </c>
      <c r="CW29" s="58">
        <f t="shared" si="85"/>
        <v>0</v>
      </c>
      <c r="CX29" s="58">
        <f t="shared" si="85"/>
        <v>0</v>
      </c>
      <c r="CY29" s="58">
        <f t="shared" si="85"/>
        <v>0</v>
      </c>
      <c r="CZ29" s="58">
        <f t="shared" si="85"/>
        <v>0</v>
      </c>
      <c r="DA29" s="58">
        <f t="shared" si="85"/>
        <v>0</v>
      </c>
      <c r="DB29" s="58">
        <f t="shared" si="85"/>
        <v>0</v>
      </c>
      <c r="DC29" s="58">
        <f t="shared" si="85"/>
        <v>0</v>
      </c>
      <c r="DD29" s="58">
        <f t="shared" si="85"/>
        <v>0</v>
      </c>
      <c r="DE29" s="58">
        <f t="shared" si="85"/>
        <v>0</v>
      </c>
      <c r="DF29" s="58">
        <f t="shared" si="85"/>
        <v>0</v>
      </c>
      <c r="DG29" s="58">
        <f t="shared" si="85"/>
        <v>0</v>
      </c>
      <c r="DH29" s="58">
        <f t="shared" si="85"/>
        <v>0</v>
      </c>
      <c r="DI29" s="58">
        <f t="shared" si="85"/>
        <v>0</v>
      </c>
      <c r="DJ29" s="58">
        <f t="shared" si="85"/>
        <v>0</v>
      </c>
      <c r="DK29" s="58">
        <f t="shared" si="85"/>
        <v>0</v>
      </c>
      <c r="DL29" s="58">
        <f t="shared" si="85"/>
        <v>0</v>
      </c>
      <c r="DM29" s="58">
        <f t="shared" si="85"/>
        <v>0</v>
      </c>
      <c r="DN29" s="58">
        <f t="shared" si="85"/>
        <v>0</v>
      </c>
      <c r="DO29" s="58">
        <f t="shared" si="85"/>
        <v>0</v>
      </c>
      <c r="DP29" s="58">
        <f t="shared" si="85"/>
        <v>0</v>
      </c>
      <c r="DQ29" s="58">
        <f t="shared" si="85"/>
        <v>0</v>
      </c>
      <c r="DR29" s="58">
        <f t="shared" si="85"/>
        <v>0</v>
      </c>
      <c r="DS29" s="58">
        <f t="shared" si="85"/>
        <v>0</v>
      </c>
      <c r="DT29" s="58">
        <f t="shared" si="85"/>
        <v>0</v>
      </c>
      <c r="DU29" s="58">
        <f t="shared" si="85"/>
        <v>0</v>
      </c>
      <c r="DV29" s="58">
        <f t="shared" si="85"/>
        <v>0</v>
      </c>
      <c r="DW29" s="58">
        <f t="shared" si="85"/>
        <v>0</v>
      </c>
      <c r="DX29" s="58">
        <f t="shared" si="85"/>
        <v>0</v>
      </c>
      <c r="DY29" s="58">
        <f t="shared" si="85"/>
        <v>0</v>
      </c>
      <c r="DZ29" s="58">
        <f t="shared" si="85"/>
        <v>0</v>
      </c>
      <c r="EA29" s="58">
        <f t="shared" si="85"/>
        <v>0</v>
      </c>
      <c r="EB29" s="58">
        <f t="shared" si="85"/>
        <v>0</v>
      </c>
      <c r="EC29" s="58">
        <f t="shared" si="85"/>
        <v>0</v>
      </c>
      <c r="ED29" s="58">
        <f t="shared" si="85"/>
        <v>0</v>
      </c>
      <c r="EE29" s="58">
        <f t="shared" si="85"/>
        <v>0</v>
      </c>
      <c r="EF29" s="58">
        <f t="shared" si="85"/>
        <v>0</v>
      </c>
      <c r="EG29" s="58">
        <f t="shared" si="85"/>
        <v>0</v>
      </c>
      <c r="EH29" s="58">
        <f t="shared" si="85"/>
        <v>0</v>
      </c>
      <c r="EI29" s="58">
        <f t="shared" si="85"/>
        <v>0</v>
      </c>
      <c r="EJ29" s="58">
        <f t="shared" si="85"/>
        <v>0</v>
      </c>
      <c r="EK29" s="58">
        <f t="shared" si="85"/>
        <v>0</v>
      </c>
      <c r="EL29" s="58">
        <f t="shared" si="85"/>
        <v>0</v>
      </c>
      <c r="EM29" s="58">
        <f t="shared" si="85"/>
        <v>0</v>
      </c>
      <c r="EN29" s="58">
        <f t="shared" si="85"/>
        <v>0</v>
      </c>
      <c r="EO29" s="58">
        <f t="shared" si="85"/>
        <v>0</v>
      </c>
      <c r="EP29" s="58">
        <f t="shared" si="85"/>
        <v>0</v>
      </c>
      <c r="EQ29" s="58">
        <f t="shared" si="85"/>
        <v>0</v>
      </c>
      <c r="ER29" s="58">
        <f t="shared" si="85"/>
        <v>0</v>
      </c>
      <c r="ES29" s="58">
        <f t="shared" si="85"/>
        <v>0</v>
      </c>
      <c r="ET29" s="58">
        <f t="shared" si="85"/>
        <v>0</v>
      </c>
      <c r="EU29" s="58">
        <f t="shared" ref="EU29:HF29" si="86">EU27+EU28</f>
        <v>0</v>
      </c>
      <c r="EV29" s="58">
        <f t="shared" si="86"/>
        <v>0</v>
      </c>
      <c r="EW29" s="58">
        <f t="shared" si="86"/>
        <v>0</v>
      </c>
      <c r="EX29" s="58">
        <f t="shared" si="86"/>
        <v>0</v>
      </c>
      <c r="EY29" s="58">
        <f t="shared" si="86"/>
        <v>0</v>
      </c>
      <c r="EZ29" s="58">
        <f t="shared" si="86"/>
        <v>0</v>
      </c>
      <c r="FA29" s="58">
        <f t="shared" si="86"/>
        <v>0</v>
      </c>
      <c r="FB29" s="58">
        <f t="shared" si="86"/>
        <v>0</v>
      </c>
      <c r="FC29" s="58">
        <f t="shared" si="86"/>
        <v>0</v>
      </c>
      <c r="FD29" s="58">
        <f t="shared" si="86"/>
        <v>0</v>
      </c>
      <c r="FE29" s="58">
        <f t="shared" si="86"/>
        <v>0</v>
      </c>
      <c r="FF29" s="58">
        <f t="shared" si="86"/>
        <v>0</v>
      </c>
      <c r="FG29" s="58">
        <f t="shared" si="86"/>
        <v>0</v>
      </c>
      <c r="FH29" s="58">
        <f t="shared" si="86"/>
        <v>0</v>
      </c>
      <c r="FI29" s="58">
        <f t="shared" si="86"/>
        <v>0</v>
      </c>
      <c r="FJ29" s="58">
        <f t="shared" si="86"/>
        <v>0</v>
      </c>
      <c r="FK29" s="58">
        <f t="shared" si="86"/>
        <v>0</v>
      </c>
      <c r="FL29" s="58">
        <f t="shared" si="86"/>
        <v>0</v>
      </c>
      <c r="FM29" s="58">
        <f t="shared" si="86"/>
        <v>0</v>
      </c>
      <c r="FN29" s="58">
        <f t="shared" si="86"/>
        <v>0</v>
      </c>
      <c r="FO29" s="58">
        <f t="shared" si="86"/>
        <v>0</v>
      </c>
      <c r="FP29" s="58">
        <f t="shared" si="86"/>
        <v>0</v>
      </c>
      <c r="FQ29" s="58">
        <f t="shared" si="86"/>
        <v>0</v>
      </c>
      <c r="FR29" s="58">
        <f t="shared" si="86"/>
        <v>0</v>
      </c>
      <c r="FS29" s="58">
        <f t="shared" si="86"/>
        <v>0</v>
      </c>
      <c r="FT29" s="58">
        <f t="shared" si="86"/>
        <v>0</v>
      </c>
      <c r="FU29" s="58">
        <f t="shared" si="86"/>
        <v>0</v>
      </c>
      <c r="FV29" s="58">
        <f t="shared" si="86"/>
        <v>0</v>
      </c>
      <c r="FW29" s="58">
        <f t="shared" si="86"/>
        <v>0</v>
      </c>
      <c r="FX29" s="58">
        <f t="shared" si="86"/>
        <v>0</v>
      </c>
      <c r="FY29" s="58">
        <f t="shared" si="86"/>
        <v>0</v>
      </c>
      <c r="FZ29" s="58">
        <f t="shared" si="86"/>
        <v>0</v>
      </c>
      <c r="GA29" s="58">
        <f t="shared" si="86"/>
        <v>0</v>
      </c>
      <c r="GB29" s="58">
        <f t="shared" si="86"/>
        <v>0</v>
      </c>
      <c r="GC29" s="58">
        <f t="shared" si="86"/>
        <v>0</v>
      </c>
      <c r="GD29" s="58">
        <f t="shared" si="86"/>
        <v>0</v>
      </c>
      <c r="GE29" s="58">
        <f t="shared" si="86"/>
        <v>0</v>
      </c>
      <c r="GF29" s="58">
        <f t="shared" si="86"/>
        <v>0</v>
      </c>
      <c r="GG29" s="58">
        <f t="shared" si="86"/>
        <v>0</v>
      </c>
      <c r="GH29" s="58">
        <f t="shared" si="86"/>
        <v>0</v>
      </c>
      <c r="GI29" s="58">
        <f t="shared" si="86"/>
        <v>0</v>
      </c>
      <c r="GJ29" s="58">
        <f t="shared" si="86"/>
        <v>0</v>
      </c>
      <c r="GK29" s="58">
        <f t="shared" si="86"/>
        <v>0</v>
      </c>
      <c r="GL29" s="58">
        <f t="shared" si="86"/>
        <v>0</v>
      </c>
      <c r="GM29" s="58">
        <f t="shared" si="86"/>
        <v>0</v>
      </c>
      <c r="GN29" s="58">
        <f t="shared" si="86"/>
        <v>0</v>
      </c>
      <c r="GO29" s="58">
        <f t="shared" si="86"/>
        <v>0</v>
      </c>
      <c r="GP29" s="58">
        <f t="shared" si="86"/>
        <v>0</v>
      </c>
      <c r="GQ29" s="58">
        <f t="shared" si="86"/>
        <v>0</v>
      </c>
      <c r="GR29" s="58">
        <f t="shared" si="86"/>
        <v>0</v>
      </c>
      <c r="GS29" s="58">
        <f t="shared" si="86"/>
        <v>0</v>
      </c>
      <c r="GT29" s="58">
        <f t="shared" si="86"/>
        <v>0</v>
      </c>
      <c r="GU29" s="58">
        <f t="shared" si="86"/>
        <v>0</v>
      </c>
      <c r="GV29" s="58">
        <f t="shared" si="86"/>
        <v>0</v>
      </c>
      <c r="GW29" s="58">
        <f t="shared" si="86"/>
        <v>0</v>
      </c>
      <c r="GX29" s="58">
        <f t="shared" si="86"/>
        <v>0</v>
      </c>
      <c r="GY29" s="58">
        <f t="shared" si="86"/>
        <v>0</v>
      </c>
      <c r="GZ29" s="58">
        <f t="shared" si="86"/>
        <v>0</v>
      </c>
      <c r="HA29" s="58">
        <f t="shared" si="86"/>
        <v>0</v>
      </c>
      <c r="HB29" s="58">
        <f t="shared" si="86"/>
        <v>0</v>
      </c>
      <c r="HC29" s="58">
        <f t="shared" si="86"/>
        <v>0</v>
      </c>
      <c r="HD29" s="58">
        <f t="shared" si="86"/>
        <v>0</v>
      </c>
      <c r="HE29" s="58">
        <f t="shared" si="86"/>
        <v>0</v>
      </c>
      <c r="HF29" s="58">
        <f t="shared" si="86"/>
        <v>0</v>
      </c>
      <c r="HG29" s="58">
        <f t="shared" ref="HG29:IB29" si="87">HG27+HG28</f>
        <v>0</v>
      </c>
      <c r="HH29" s="58">
        <f t="shared" si="87"/>
        <v>0</v>
      </c>
      <c r="HI29" s="58">
        <f t="shared" si="87"/>
        <v>0</v>
      </c>
      <c r="HJ29" s="58">
        <f t="shared" si="87"/>
        <v>0</v>
      </c>
      <c r="HK29" s="58">
        <f t="shared" si="87"/>
        <v>0</v>
      </c>
      <c r="HL29" s="58">
        <f t="shared" si="87"/>
        <v>0</v>
      </c>
      <c r="HM29" s="58">
        <f t="shared" si="87"/>
        <v>0</v>
      </c>
      <c r="HN29" s="58">
        <f t="shared" si="87"/>
        <v>0</v>
      </c>
      <c r="HO29" s="58">
        <f t="shared" si="87"/>
        <v>0</v>
      </c>
      <c r="HP29" s="58">
        <f t="shared" si="87"/>
        <v>0</v>
      </c>
      <c r="HQ29" s="58">
        <f t="shared" si="87"/>
        <v>0</v>
      </c>
      <c r="HR29" s="58">
        <f t="shared" si="87"/>
        <v>0</v>
      </c>
      <c r="HS29" s="58">
        <f t="shared" si="87"/>
        <v>0</v>
      </c>
      <c r="HT29" s="58">
        <f t="shared" si="87"/>
        <v>0</v>
      </c>
      <c r="HU29" s="58">
        <f t="shared" si="87"/>
        <v>0</v>
      </c>
      <c r="HV29" s="58">
        <f t="shared" si="87"/>
        <v>0</v>
      </c>
      <c r="HW29" s="58">
        <f t="shared" si="87"/>
        <v>0</v>
      </c>
      <c r="HX29" s="58">
        <f t="shared" si="87"/>
        <v>0</v>
      </c>
      <c r="HY29" s="58">
        <f t="shared" si="87"/>
        <v>0</v>
      </c>
      <c r="HZ29" s="58">
        <f t="shared" si="87"/>
        <v>0</v>
      </c>
      <c r="IA29" s="58">
        <f t="shared" si="87"/>
        <v>0</v>
      </c>
      <c r="IB29" s="58">
        <f t="shared" si="87"/>
        <v>0</v>
      </c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</row>
    <row r="30" spans="1:251" ht="18" customHeight="1" x14ac:dyDescent="0.3">
      <c r="H30" s="25"/>
      <c r="I30" s="25"/>
      <c r="J30" s="165"/>
      <c r="K30" s="165"/>
      <c r="L30" s="98"/>
      <c r="M30" s="98"/>
      <c r="N30" s="25"/>
      <c r="O30" s="25"/>
      <c r="P30" s="25"/>
      <c r="Q30" s="132"/>
      <c r="R30" s="152"/>
      <c r="S30" s="1"/>
      <c r="T30" s="34" t="s">
        <v>58</v>
      </c>
      <c r="U30" s="34"/>
      <c r="V30" s="58">
        <f>IFERROR(-IF(((V29/U17)*12)&gt;$E$23,V29*$E$22,"n"),0)</f>
        <v>-155794.47000568378</v>
      </c>
      <c r="W30" s="58">
        <f t="shared" ref="W30:CG30" si="88">IFERROR(-IF(((W29/V17)*12)&gt;$E$23,W29*$E$22,"n"),0)</f>
        <v>-165846.5655795979</v>
      </c>
      <c r="X30" s="58">
        <f t="shared" si="88"/>
        <v>-175947.37829975359</v>
      </c>
      <c r="Y30" s="58">
        <f t="shared" si="88"/>
        <v>-186097.15884914156</v>
      </c>
      <c r="Z30" s="58">
        <f t="shared" si="88"/>
        <v>-196296.15920068772</v>
      </c>
      <c r="AA30" s="58">
        <f t="shared" si="88"/>
        <v>-206544.63262389079</v>
      </c>
      <c r="AB30" s="58">
        <f t="shared" si="88"/>
        <v>-216842.83369149407</v>
      </c>
      <c r="AC30" s="58">
        <f t="shared" si="88"/>
        <v>-227191.01828619151</v>
      </c>
      <c r="AD30" s="58">
        <f t="shared" si="88"/>
        <v>-237589.4436073681</v>
      </c>
      <c r="AE30" s="58">
        <f t="shared" si="88"/>
        <v>-248038.36817787564</v>
      </c>
      <c r="AF30" s="58">
        <f t="shared" si="88"/>
        <v>-258538.0518508424</v>
      </c>
      <c r="AG30" s="58">
        <f t="shared" si="88"/>
        <v>-269088.75581651839</v>
      </c>
      <c r="AH30" s="58">
        <f t="shared" si="88"/>
        <v>-279690.742609156</v>
      </c>
      <c r="AI30" s="58">
        <f t="shared" si="88"/>
        <v>-290344.27611392562</v>
      </c>
      <c r="AJ30" s="58">
        <f t="shared" si="88"/>
        <v>-301049.62157386704</v>
      </c>
      <c r="AK30" s="58">
        <f t="shared" si="88"/>
        <v>-311807.04559687659</v>
      </c>
      <c r="AL30" s="58">
        <f t="shared" si="88"/>
        <v>-322616.81616273039</v>
      </c>
      <c r="AM30" s="58">
        <f t="shared" si="88"/>
        <v>-333479.20263014361</v>
      </c>
      <c r="AN30" s="58">
        <f t="shared" si="88"/>
        <v>-344394.47574386583</v>
      </c>
      <c r="AO30" s="58">
        <f t="shared" si="88"/>
        <v>-346062.09927581018</v>
      </c>
      <c r="AP30" s="58">
        <f t="shared" si="88"/>
        <v>-347738.30386979622</v>
      </c>
      <c r="AQ30" s="58">
        <f t="shared" si="88"/>
        <v>-349423.13368124899</v>
      </c>
      <c r="AR30" s="58">
        <f t="shared" si="88"/>
        <v>-351116.6330928033</v>
      </c>
      <c r="AS30" s="58">
        <f t="shared" si="88"/>
        <v>-352818.84671547299</v>
      </c>
      <c r="AT30" s="58">
        <f t="shared" si="88"/>
        <v>-354529.81938982569</v>
      </c>
      <c r="AU30" s="58">
        <f t="shared" si="88"/>
        <v>-356249.59618716495</v>
      </c>
      <c r="AV30" s="58">
        <f t="shared" si="88"/>
        <v>-357978.22241071658</v>
      </c>
      <c r="AW30" s="58">
        <f t="shared" si="88"/>
        <v>-359715.74359682243</v>
      </c>
      <c r="AX30" s="58">
        <f t="shared" si="88"/>
        <v>-361462.20551614009</v>
      </c>
      <c r="AY30" s="58">
        <f t="shared" si="88"/>
        <v>-363217.65417484834</v>
      </c>
      <c r="AZ30" s="58">
        <f t="shared" si="88"/>
        <v>-364982.13581585919</v>
      </c>
      <c r="BA30" s="58">
        <f t="shared" si="88"/>
        <v>-351474.20954836783</v>
      </c>
      <c r="BB30" s="58">
        <f t="shared" si="88"/>
        <v>-337826.85219013324</v>
      </c>
      <c r="BC30" s="58">
        <f t="shared" si="88"/>
        <v>-324038.96405864455</v>
      </c>
      <c r="BD30" s="58">
        <f t="shared" si="88"/>
        <v>-310109.43784601981</v>
      </c>
      <c r="BE30" s="58">
        <f t="shared" si="88"/>
        <v>-296037.15856964787</v>
      </c>
      <c r="BF30" s="58">
        <f t="shared" si="88"/>
        <v>-281821.00352252374</v>
      </c>
      <c r="BG30" s="58">
        <f t="shared" si="88"/>
        <v>-267459.84222327743</v>
      </c>
      <c r="BH30" s="58">
        <f t="shared" si="88"/>
        <v>-252952.53636589149</v>
      </c>
      <c r="BI30" s="58">
        <f t="shared" si="88"/>
        <v>-238297.93976910802</v>
      </c>
      <c r="BJ30" s="58">
        <f t="shared" si="88"/>
        <v>-223494.89832552176</v>
      </c>
      <c r="BK30" s="58">
        <f t="shared" si="88"/>
        <v>-208542.24995035789</v>
      </c>
      <c r="BL30" s="58">
        <f t="shared" si="88"/>
        <v>-193438.82452993235</v>
      </c>
      <c r="BM30" s="58">
        <f t="shared" si="88"/>
        <v>-178183.44386979332</v>
      </c>
      <c r="BN30" s="58">
        <f t="shared" si="88"/>
        <v>-162774.92164254119</v>
      </c>
      <c r="BO30" s="58">
        <f t="shared" si="88"/>
        <v>-147212.06333532618</v>
      </c>
      <c r="BP30" s="58">
        <f t="shared" si="88"/>
        <v>-131493.66619701986</v>
      </c>
      <c r="BQ30" s="58">
        <f t="shared" si="88"/>
        <v>-115618.51918506097</v>
      </c>
      <c r="BR30" s="58">
        <f t="shared" si="88"/>
        <v>-99585.402911971396</v>
      </c>
      <c r="BS30" s="58">
        <f t="shared" si="88"/>
        <v>-83393.089591541735</v>
      </c>
      <c r="BT30" s="58">
        <f t="shared" si="88"/>
        <v>-67040.342984683972</v>
      </c>
      <c r="BU30" s="58">
        <f t="shared" si="88"/>
        <v>-50525.918344949059</v>
      </c>
      <c r="BV30" s="58">
        <f t="shared" si="88"/>
        <v>-33848.562363707861</v>
      </c>
      <c r="BW30" s="58">
        <f t="shared" si="88"/>
        <v>-17007.01311499302</v>
      </c>
      <c r="BX30" s="58">
        <f t="shared" si="88"/>
        <v>0</v>
      </c>
      <c r="BY30" s="58">
        <f t="shared" si="88"/>
        <v>0</v>
      </c>
      <c r="BZ30" s="58">
        <f t="shared" si="88"/>
        <v>0</v>
      </c>
      <c r="CA30" s="58">
        <f t="shared" si="88"/>
        <v>0</v>
      </c>
      <c r="CB30" s="58">
        <f t="shared" si="88"/>
        <v>0</v>
      </c>
      <c r="CC30" s="58">
        <f t="shared" si="88"/>
        <v>0</v>
      </c>
      <c r="CD30" s="58">
        <f t="shared" si="88"/>
        <v>0</v>
      </c>
      <c r="CE30" s="58">
        <f t="shared" si="88"/>
        <v>0</v>
      </c>
      <c r="CF30" s="58">
        <f t="shared" si="88"/>
        <v>0</v>
      </c>
      <c r="CG30" s="58">
        <f t="shared" si="88"/>
        <v>0</v>
      </c>
      <c r="CH30" s="58">
        <f t="shared" ref="CH30:ES30" si="89">IFERROR(-IF(((CH29/CG17)*12)&gt;$E$23,CH29*$E$22,"n"),0)</f>
        <v>0</v>
      </c>
      <c r="CI30" s="58">
        <f t="shared" si="89"/>
        <v>0</v>
      </c>
      <c r="CJ30" s="58">
        <f t="shared" si="89"/>
        <v>0</v>
      </c>
      <c r="CK30" s="58">
        <f t="shared" si="89"/>
        <v>0</v>
      </c>
      <c r="CL30" s="58">
        <f t="shared" si="89"/>
        <v>0</v>
      </c>
      <c r="CM30" s="58">
        <f t="shared" si="89"/>
        <v>0</v>
      </c>
      <c r="CN30" s="58">
        <f t="shared" si="89"/>
        <v>0</v>
      </c>
      <c r="CO30" s="58">
        <f t="shared" si="89"/>
        <v>0</v>
      </c>
      <c r="CP30" s="58">
        <f t="shared" si="89"/>
        <v>0</v>
      </c>
      <c r="CQ30" s="58">
        <f t="shared" si="89"/>
        <v>0</v>
      </c>
      <c r="CR30" s="58">
        <f t="shared" si="89"/>
        <v>0</v>
      </c>
      <c r="CS30" s="58">
        <f t="shared" si="89"/>
        <v>0</v>
      </c>
      <c r="CT30" s="58">
        <f t="shared" si="89"/>
        <v>0</v>
      </c>
      <c r="CU30" s="58">
        <f t="shared" si="89"/>
        <v>0</v>
      </c>
      <c r="CV30" s="58">
        <f t="shared" si="89"/>
        <v>0</v>
      </c>
      <c r="CW30" s="58">
        <f t="shared" si="89"/>
        <v>0</v>
      </c>
      <c r="CX30" s="58">
        <f t="shared" si="89"/>
        <v>0</v>
      </c>
      <c r="CY30" s="58">
        <f t="shared" si="89"/>
        <v>0</v>
      </c>
      <c r="CZ30" s="58">
        <f t="shared" si="89"/>
        <v>0</v>
      </c>
      <c r="DA30" s="58">
        <f t="shared" si="89"/>
        <v>0</v>
      </c>
      <c r="DB30" s="58">
        <f t="shared" si="89"/>
        <v>0</v>
      </c>
      <c r="DC30" s="58">
        <f t="shared" si="89"/>
        <v>0</v>
      </c>
      <c r="DD30" s="58">
        <f t="shared" si="89"/>
        <v>0</v>
      </c>
      <c r="DE30" s="58">
        <f t="shared" si="89"/>
        <v>0</v>
      </c>
      <c r="DF30" s="58">
        <f t="shared" si="89"/>
        <v>0</v>
      </c>
      <c r="DG30" s="58">
        <f t="shared" si="89"/>
        <v>0</v>
      </c>
      <c r="DH30" s="58">
        <f t="shared" si="89"/>
        <v>0</v>
      </c>
      <c r="DI30" s="58">
        <f t="shared" si="89"/>
        <v>0</v>
      </c>
      <c r="DJ30" s="58">
        <f t="shared" si="89"/>
        <v>0</v>
      </c>
      <c r="DK30" s="58">
        <f t="shared" si="89"/>
        <v>0</v>
      </c>
      <c r="DL30" s="58">
        <f t="shared" si="89"/>
        <v>0</v>
      </c>
      <c r="DM30" s="58">
        <f t="shared" si="89"/>
        <v>0</v>
      </c>
      <c r="DN30" s="58">
        <f t="shared" si="89"/>
        <v>0</v>
      </c>
      <c r="DO30" s="58">
        <f t="shared" si="89"/>
        <v>0</v>
      </c>
      <c r="DP30" s="58">
        <f t="shared" si="89"/>
        <v>0</v>
      </c>
      <c r="DQ30" s="58">
        <f t="shared" si="89"/>
        <v>0</v>
      </c>
      <c r="DR30" s="58">
        <f t="shared" si="89"/>
        <v>0</v>
      </c>
      <c r="DS30" s="58">
        <f t="shared" si="89"/>
        <v>0</v>
      </c>
      <c r="DT30" s="58">
        <f t="shared" si="89"/>
        <v>0</v>
      </c>
      <c r="DU30" s="58">
        <f t="shared" si="89"/>
        <v>0</v>
      </c>
      <c r="DV30" s="58">
        <f t="shared" si="89"/>
        <v>0</v>
      </c>
      <c r="DW30" s="58">
        <f t="shared" si="89"/>
        <v>0</v>
      </c>
      <c r="DX30" s="58">
        <f t="shared" si="89"/>
        <v>0</v>
      </c>
      <c r="DY30" s="58">
        <f t="shared" si="89"/>
        <v>0</v>
      </c>
      <c r="DZ30" s="58">
        <f t="shared" si="89"/>
        <v>0</v>
      </c>
      <c r="EA30" s="58">
        <f t="shared" si="89"/>
        <v>0</v>
      </c>
      <c r="EB30" s="58">
        <f t="shared" si="89"/>
        <v>0</v>
      </c>
      <c r="EC30" s="58">
        <f t="shared" si="89"/>
        <v>0</v>
      </c>
      <c r="ED30" s="58">
        <f t="shared" si="89"/>
        <v>0</v>
      </c>
      <c r="EE30" s="58">
        <f t="shared" si="89"/>
        <v>0</v>
      </c>
      <c r="EF30" s="58">
        <f t="shared" si="89"/>
        <v>0</v>
      </c>
      <c r="EG30" s="58">
        <f t="shared" si="89"/>
        <v>0</v>
      </c>
      <c r="EH30" s="58">
        <f t="shared" si="89"/>
        <v>0</v>
      </c>
      <c r="EI30" s="58">
        <f t="shared" si="89"/>
        <v>0</v>
      </c>
      <c r="EJ30" s="58">
        <f t="shared" si="89"/>
        <v>0</v>
      </c>
      <c r="EK30" s="58">
        <f t="shared" si="89"/>
        <v>0</v>
      </c>
      <c r="EL30" s="58">
        <f t="shared" si="89"/>
        <v>0</v>
      </c>
      <c r="EM30" s="58">
        <f t="shared" si="89"/>
        <v>0</v>
      </c>
      <c r="EN30" s="58">
        <f t="shared" si="89"/>
        <v>0</v>
      </c>
      <c r="EO30" s="58">
        <f t="shared" si="89"/>
        <v>0</v>
      </c>
      <c r="EP30" s="58">
        <f t="shared" si="89"/>
        <v>0</v>
      </c>
      <c r="EQ30" s="58">
        <f t="shared" si="89"/>
        <v>0</v>
      </c>
      <c r="ER30" s="58">
        <f t="shared" si="89"/>
        <v>0</v>
      </c>
      <c r="ES30" s="58">
        <f t="shared" si="89"/>
        <v>0</v>
      </c>
      <c r="ET30" s="58">
        <f t="shared" ref="ET30:HE30" si="90">IFERROR(-IF(((ET29/ES17)*12)&gt;$E$23,ET29*$E$22,"n"),0)</f>
        <v>0</v>
      </c>
      <c r="EU30" s="58">
        <f t="shared" si="90"/>
        <v>0</v>
      </c>
      <c r="EV30" s="58">
        <f t="shared" si="90"/>
        <v>0</v>
      </c>
      <c r="EW30" s="58">
        <f t="shared" si="90"/>
        <v>0</v>
      </c>
      <c r="EX30" s="58">
        <f t="shared" si="90"/>
        <v>0</v>
      </c>
      <c r="EY30" s="58">
        <f t="shared" si="90"/>
        <v>0</v>
      </c>
      <c r="EZ30" s="58">
        <f t="shared" si="90"/>
        <v>0</v>
      </c>
      <c r="FA30" s="58">
        <f t="shared" si="90"/>
        <v>0</v>
      </c>
      <c r="FB30" s="58">
        <f t="shared" si="90"/>
        <v>0</v>
      </c>
      <c r="FC30" s="58">
        <f t="shared" si="90"/>
        <v>0</v>
      </c>
      <c r="FD30" s="58">
        <f t="shared" si="90"/>
        <v>0</v>
      </c>
      <c r="FE30" s="58">
        <f t="shared" si="90"/>
        <v>0</v>
      </c>
      <c r="FF30" s="58">
        <f t="shared" si="90"/>
        <v>0</v>
      </c>
      <c r="FG30" s="58">
        <f t="shared" si="90"/>
        <v>0</v>
      </c>
      <c r="FH30" s="58">
        <f t="shared" si="90"/>
        <v>0</v>
      </c>
      <c r="FI30" s="58">
        <f t="shared" si="90"/>
        <v>0</v>
      </c>
      <c r="FJ30" s="58">
        <f t="shared" si="90"/>
        <v>0</v>
      </c>
      <c r="FK30" s="58">
        <f t="shared" si="90"/>
        <v>0</v>
      </c>
      <c r="FL30" s="58">
        <f t="shared" si="90"/>
        <v>0</v>
      </c>
      <c r="FM30" s="58">
        <f t="shared" si="90"/>
        <v>0</v>
      </c>
      <c r="FN30" s="58">
        <f t="shared" si="90"/>
        <v>0</v>
      </c>
      <c r="FO30" s="58">
        <f t="shared" si="90"/>
        <v>0</v>
      </c>
      <c r="FP30" s="58">
        <f t="shared" si="90"/>
        <v>0</v>
      </c>
      <c r="FQ30" s="58">
        <f t="shared" si="90"/>
        <v>0</v>
      </c>
      <c r="FR30" s="58">
        <f t="shared" si="90"/>
        <v>0</v>
      </c>
      <c r="FS30" s="58">
        <f t="shared" si="90"/>
        <v>0</v>
      </c>
      <c r="FT30" s="58">
        <f t="shared" si="90"/>
        <v>0</v>
      </c>
      <c r="FU30" s="58">
        <f t="shared" si="90"/>
        <v>0</v>
      </c>
      <c r="FV30" s="58">
        <f t="shared" si="90"/>
        <v>0</v>
      </c>
      <c r="FW30" s="58">
        <f t="shared" si="90"/>
        <v>0</v>
      </c>
      <c r="FX30" s="58">
        <f t="shared" si="90"/>
        <v>0</v>
      </c>
      <c r="FY30" s="58">
        <f t="shared" si="90"/>
        <v>0</v>
      </c>
      <c r="FZ30" s="58">
        <f t="shared" si="90"/>
        <v>0</v>
      </c>
      <c r="GA30" s="58">
        <f t="shared" si="90"/>
        <v>0</v>
      </c>
      <c r="GB30" s="58">
        <f t="shared" si="90"/>
        <v>0</v>
      </c>
      <c r="GC30" s="58">
        <f t="shared" si="90"/>
        <v>0</v>
      </c>
      <c r="GD30" s="58">
        <f t="shared" si="90"/>
        <v>0</v>
      </c>
      <c r="GE30" s="58">
        <f t="shared" si="90"/>
        <v>0</v>
      </c>
      <c r="GF30" s="58">
        <f t="shared" si="90"/>
        <v>0</v>
      </c>
      <c r="GG30" s="58">
        <f t="shared" si="90"/>
        <v>0</v>
      </c>
      <c r="GH30" s="58">
        <f t="shared" si="90"/>
        <v>0</v>
      </c>
      <c r="GI30" s="58">
        <f t="shared" si="90"/>
        <v>0</v>
      </c>
      <c r="GJ30" s="58">
        <f t="shared" si="90"/>
        <v>0</v>
      </c>
      <c r="GK30" s="58">
        <f t="shared" si="90"/>
        <v>0</v>
      </c>
      <c r="GL30" s="58">
        <f t="shared" si="90"/>
        <v>0</v>
      </c>
      <c r="GM30" s="58">
        <f t="shared" si="90"/>
        <v>0</v>
      </c>
      <c r="GN30" s="58">
        <f t="shared" si="90"/>
        <v>0</v>
      </c>
      <c r="GO30" s="58">
        <f t="shared" si="90"/>
        <v>0</v>
      </c>
      <c r="GP30" s="58">
        <f t="shared" si="90"/>
        <v>0</v>
      </c>
      <c r="GQ30" s="58">
        <f t="shared" si="90"/>
        <v>0</v>
      </c>
      <c r="GR30" s="58">
        <f t="shared" si="90"/>
        <v>0</v>
      </c>
      <c r="GS30" s="58">
        <f t="shared" si="90"/>
        <v>0</v>
      </c>
      <c r="GT30" s="58">
        <f t="shared" si="90"/>
        <v>0</v>
      </c>
      <c r="GU30" s="58">
        <f t="shared" si="90"/>
        <v>0</v>
      </c>
      <c r="GV30" s="58">
        <f t="shared" si="90"/>
        <v>0</v>
      </c>
      <c r="GW30" s="58">
        <f t="shared" si="90"/>
        <v>0</v>
      </c>
      <c r="GX30" s="58">
        <f t="shared" si="90"/>
        <v>0</v>
      </c>
      <c r="GY30" s="58">
        <f t="shared" si="90"/>
        <v>0</v>
      </c>
      <c r="GZ30" s="58">
        <f t="shared" si="90"/>
        <v>0</v>
      </c>
      <c r="HA30" s="58">
        <f t="shared" si="90"/>
        <v>0</v>
      </c>
      <c r="HB30" s="58">
        <f t="shared" si="90"/>
        <v>0</v>
      </c>
      <c r="HC30" s="58">
        <f t="shared" si="90"/>
        <v>0</v>
      </c>
      <c r="HD30" s="58">
        <f t="shared" si="90"/>
        <v>0</v>
      </c>
      <c r="HE30" s="58">
        <f t="shared" si="90"/>
        <v>0</v>
      </c>
      <c r="HF30" s="58">
        <f t="shared" ref="HF30:IB30" si="91">IFERROR(-IF(((HF29/HE17)*12)&gt;$E$23,HF29*$E$22,"n"),0)</f>
        <v>0</v>
      </c>
      <c r="HG30" s="58">
        <f t="shared" si="91"/>
        <v>0</v>
      </c>
      <c r="HH30" s="58">
        <f t="shared" si="91"/>
        <v>0</v>
      </c>
      <c r="HI30" s="58">
        <f t="shared" si="91"/>
        <v>0</v>
      </c>
      <c r="HJ30" s="58">
        <f t="shared" si="91"/>
        <v>0</v>
      </c>
      <c r="HK30" s="58">
        <f t="shared" si="91"/>
        <v>0</v>
      </c>
      <c r="HL30" s="58">
        <f t="shared" si="91"/>
        <v>0</v>
      </c>
      <c r="HM30" s="58">
        <f t="shared" si="91"/>
        <v>0</v>
      </c>
      <c r="HN30" s="58">
        <f t="shared" si="91"/>
        <v>0</v>
      </c>
      <c r="HO30" s="58">
        <f t="shared" si="91"/>
        <v>0</v>
      </c>
      <c r="HP30" s="58">
        <f t="shared" si="91"/>
        <v>0</v>
      </c>
      <c r="HQ30" s="58">
        <f t="shared" si="91"/>
        <v>0</v>
      </c>
      <c r="HR30" s="58">
        <f t="shared" si="91"/>
        <v>0</v>
      </c>
      <c r="HS30" s="58">
        <f t="shared" si="91"/>
        <v>0</v>
      </c>
      <c r="HT30" s="58">
        <f t="shared" si="91"/>
        <v>0</v>
      </c>
      <c r="HU30" s="58">
        <f t="shared" si="91"/>
        <v>0</v>
      </c>
      <c r="HV30" s="58">
        <f t="shared" si="91"/>
        <v>0</v>
      </c>
      <c r="HW30" s="58">
        <f t="shared" si="91"/>
        <v>0</v>
      </c>
      <c r="HX30" s="58">
        <f t="shared" si="91"/>
        <v>0</v>
      </c>
      <c r="HY30" s="58">
        <f t="shared" si="91"/>
        <v>0</v>
      </c>
      <c r="HZ30" s="58">
        <f t="shared" si="91"/>
        <v>0</v>
      </c>
      <c r="IA30" s="58">
        <f t="shared" si="91"/>
        <v>0</v>
      </c>
      <c r="IB30" s="58">
        <f t="shared" si="91"/>
        <v>0</v>
      </c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</row>
    <row r="31" spans="1:251" ht="18" customHeight="1" x14ac:dyDescent="0.3">
      <c r="E31" s="25"/>
      <c r="F31" s="25"/>
      <c r="G31" s="25"/>
      <c r="H31" s="25"/>
      <c r="I31" s="166" t="s">
        <v>59</v>
      </c>
      <c r="J31" s="25"/>
      <c r="K31" s="25"/>
      <c r="L31" s="25"/>
      <c r="M31" s="25"/>
      <c r="N31" s="25"/>
      <c r="O31" s="25"/>
      <c r="P31" s="25"/>
      <c r="Q31" s="132"/>
      <c r="R31" s="25"/>
      <c r="S31" s="1"/>
      <c r="T31" s="34" t="s">
        <v>52</v>
      </c>
      <c r="U31" s="34"/>
      <c r="V31" s="58">
        <f>V29+V30</f>
        <v>1142492.7800416809</v>
      </c>
      <c r="W31" s="58">
        <f t="shared" ref="W31:CH31" si="92">W29+W30</f>
        <v>1216208.1475837179</v>
      </c>
      <c r="X31" s="58">
        <f t="shared" si="92"/>
        <v>1290280.7741981931</v>
      </c>
      <c r="Y31" s="58">
        <f t="shared" si="92"/>
        <v>1364712.4982270382</v>
      </c>
      <c r="Z31" s="58">
        <f t="shared" si="92"/>
        <v>1439505.1674717101</v>
      </c>
      <c r="AA31" s="58">
        <f t="shared" si="92"/>
        <v>1514660.6392418658</v>
      </c>
      <c r="AB31" s="58">
        <f t="shared" si="92"/>
        <v>1590180.78040429</v>
      </c>
      <c r="AC31" s="58">
        <f t="shared" si="92"/>
        <v>1666067.467432071</v>
      </c>
      <c r="AD31" s="58">
        <f t="shared" si="92"/>
        <v>1742322.5864540329</v>
      </c>
      <c r="AE31" s="58">
        <f t="shared" si="92"/>
        <v>1818948.0333044215</v>
      </c>
      <c r="AF31" s="58">
        <f t="shared" si="92"/>
        <v>1895945.7135728444</v>
      </c>
      <c r="AG31" s="58">
        <f t="shared" si="92"/>
        <v>1973317.5426544682</v>
      </c>
      <c r="AH31" s="58">
        <f t="shared" si="92"/>
        <v>2051065.4458004774</v>
      </c>
      <c r="AI31" s="58">
        <f t="shared" si="92"/>
        <v>2129191.3581687883</v>
      </c>
      <c r="AJ31" s="58">
        <f t="shared" si="92"/>
        <v>2207697.2248750255</v>
      </c>
      <c r="AK31" s="58">
        <f t="shared" si="92"/>
        <v>2286585.0010437616</v>
      </c>
      <c r="AL31" s="58">
        <f t="shared" si="92"/>
        <v>2365856.6518600229</v>
      </c>
      <c r="AM31" s="58">
        <f t="shared" si="92"/>
        <v>2445514.1526210532</v>
      </c>
      <c r="AN31" s="58">
        <f t="shared" si="92"/>
        <v>2525559.4887883496</v>
      </c>
      <c r="AO31" s="58">
        <f t="shared" si="92"/>
        <v>2537788.728022608</v>
      </c>
      <c r="AP31" s="58">
        <f t="shared" si="92"/>
        <v>2550080.8950451724</v>
      </c>
      <c r="AQ31" s="58">
        <f t="shared" si="92"/>
        <v>2562436.3136624927</v>
      </c>
      <c r="AR31" s="58">
        <f t="shared" si="92"/>
        <v>2574855.309347224</v>
      </c>
      <c r="AS31" s="58">
        <f t="shared" si="92"/>
        <v>2587338.2092468017</v>
      </c>
      <c r="AT31" s="58">
        <f t="shared" si="92"/>
        <v>2599885.3421920552</v>
      </c>
      <c r="AU31" s="58">
        <f t="shared" si="92"/>
        <v>2612497.0387058766</v>
      </c>
      <c r="AV31" s="58">
        <f t="shared" si="92"/>
        <v>2625173.6310119219</v>
      </c>
      <c r="AW31" s="58">
        <f t="shared" si="92"/>
        <v>2637915.4530433645</v>
      </c>
      <c r="AX31" s="58">
        <f t="shared" si="92"/>
        <v>2650722.8404516941</v>
      </c>
      <c r="AY31" s="58">
        <f t="shared" si="92"/>
        <v>2663596.1306155547</v>
      </c>
      <c r="AZ31" s="58">
        <f t="shared" si="92"/>
        <v>2676535.6626496343</v>
      </c>
      <c r="BA31" s="58">
        <f t="shared" si="92"/>
        <v>2577477.5366880312</v>
      </c>
      <c r="BB31" s="58">
        <f t="shared" si="92"/>
        <v>2477396.9160609771</v>
      </c>
      <c r="BC31" s="58">
        <f t="shared" si="92"/>
        <v>2376285.7364300601</v>
      </c>
      <c r="BD31" s="58">
        <f t="shared" si="92"/>
        <v>2274135.8775374787</v>
      </c>
      <c r="BE31" s="58">
        <f t="shared" si="92"/>
        <v>2170939.1628440847</v>
      </c>
      <c r="BF31" s="58">
        <f t="shared" si="92"/>
        <v>2066687.3591651744</v>
      </c>
      <c r="BG31" s="58">
        <f t="shared" si="92"/>
        <v>1961372.1763040349</v>
      </c>
      <c r="BH31" s="58">
        <f t="shared" si="92"/>
        <v>1854985.2666832043</v>
      </c>
      <c r="BI31" s="58">
        <f t="shared" si="92"/>
        <v>1747518.2249734588</v>
      </c>
      <c r="BJ31" s="58">
        <f t="shared" si="92"/>
        <v>1638962.5877204931</v>
      </c>
      <c r="BK31" s="58">
        <f t="shared" si="92"/>
        <v>1529309.8329692911</v>
      </c>
      <c r="BL31" s="58">
        <f t="shared" si="92"/>
        <v>1418551.3798861706</v>
      </c>
      <c r="BM31" s="58">
        <f t="shared" si="92"/>
        <v>1306678.5883784844</v>
      </c>
      <c r="BN31" s="58">
        <f t="shared" si="92"/>
        <v>1193682.7587119688</v>
      </c>
      <c r="BO31" s="58">
        <f t="shared" si="92"/>
        <v>1079555.1311257253</v>
      </c>
      <c r="BP31" s="58">
        <f t="shared" si="92"/>
        <v>964286.88544481248</v>
      </c>
      <c r="BQ31" s="58">
        <f t="shared" si="92"/>
        <v>847869.14069044718</v>
      </c>
      <c r="BR31" s="58">
        <f t="shared" si="92"/>
        <v>730292.95468779025</v>
      </c>
      <c r="BS31" s="58">
        <f t="shared" si="92"/>
        <v>611549.32367130602</v>
      </c>
      <c r="BT31" s="58">
        <f t="shared" si="92"/>
        <v>491629.18188768247</v>
      </c>
      <c r="BU31" s="58">
        <f t="shared" si="92"/>
        <v>370523.40119629307</v>
      </c>
      <c r="BV31" s="58">
        <f t="shared" si="92"/>
        <v>248222.79066719097</v>
      </c>
      <c r="BW31" s="58">
        <f t="shared" si="92"/>
        <v>124718.09617661548</v>
      </c>
      <c r="BX31" s="58">
        <f t="shared" si="92"/>
        <v>0</v>
      </c>
      <c r="BY31" s="58">
        <f t="shared" si="92"/>
        <v>0</v>
      </c>
      <c r="BZ31" s="58">
        <f t="shared" si="92"/>
        <v>0</v>
      </c>
      <c r="CA31" s="58">
        <f t="shared" si="92"/>
        <v>0</v>
      </c>
      <c r="CB31" s="58">
        <f t="shared" si="92"/>
        <v>0</v>
      </c>
      <c r="CC31" s="58">
        <f t="shared" si="92"/>
        <v>0</v>
      </c>
      <c r="CD31" s="58">
        <f t="shared" si="92"/>
        <v>0</v>
      </c>
      <c r="CE31" s="58">
        <f t="shared" si="92"/>
        <v>0</v>
      </c>
      <c r="CF31" s="58">
        <f t="shared" si="92"/>
        <v>0</v>
      </c>
      <c r="CG31" s="58">
        <f t="shared" si="92"/>
        <v>0</v>
      </c>
      <c r="CH31" s="58">
        <f t="shared" si="92"/>
        <v>0</v>
      </c>
      <c r="CI31" s="58">
        <f t="shared" ref="CI31:ET31" si="93">CI29+CI30</f>
        <v>0</v>
      </c>
      <c r="CJ31" s="58">
        <f t="shared" si="93"/>
        <v>0</v>
      </c>
      <c r="CK31" s="58">
        <f t="shared" si="93"/>
        <v>0</v>
      </c>
      <c r="CL31" s="58">
        <f t="shared" si="93"/>
        <v>0</v>
      </c>
      <c r="CM31" s="58">
        <f t="shared" si="93"/>
        <v>0</v>
      </c>
      <c r="CN31" s="58">
        <f t="shared" si="93"/>
        <v>0</v>
      </c>
      <c r="CO31" s="58">
        <f t="shared" si="93"/>
        <v>0</v>
      </c>
      <c r="CP31" s="58">
        <f t="shared" si="93"/>
        <v>0</v>
      </c>
      <c r="CQ31" s="58">
        <f t="shared" si="93"/>
        <v>0</v>
      </c>
      <c r="CR31" s="58">
        <f t="shared" si="93"/>
        <v>0</v>
      </c>
      <c r="CS31" s="58">
        <f t="shared" si="93"/>
        <v>0</v>
      </c>
      <c r="CT31" s="58">
        <f t="shared" si="93"/>
        <v>0</v>
      </c>
      <c r="CU31" s="58">
        <f t="shared" si="93"/>
        <v>0</v>
      </c>
      <c r="CV31" s="58">
        <f t="shared" si="93"/>
        <v>0</v>
      </c>
      <c r="CW31" s="58">
        <f t="shared" si="93"/>
        <v>0</v>
      </c>
      <c r="CX31" s="58">
        <f t="shared" si="93"/>
        <v>0</v>
      </c>
      <c r="CY31" s="58">
        <f t="shared" si="93"/>
        <v>0</v>
      </c>
      <c r="CZ31" s="58">
        <f t="shared" si="93"/>
        <v>0</v>
      </c>
      <c r="DA31" s="58">
        <f t="shared" si="93"/>
        <v>0</v>
      </c>
      <c r="DB31" s="58">
        <f t="shared" si="93"/>
        <v>0</v>
      </c>
      <c r="DC31" s="58">
        <f t="shared" si="93"/>
        <v>0</v>
      </c>
      <c r="DD31" s="58">
        <f t="shared" si="93"/>
        <v>0</v>
      </c>
      <c r="DE31" s="58">
        <f t="shared" si="93"/>
        <v>0</v>
      </c>
      <c r="DF31" s="58">
        <f t="shared" si="93"/>
        <v>0</v>
      </c>
      <c r="DG31" s="58">
        <f t="shared" si="93"/>
        <v>0</v>
      </c>
      <c r="DH31" s="58">
        <f t="shared" si="93"/>
        <v>0</v>
      </c>
      <c r="DI31" s="58">
        <f t="shared" si="93"/>
        <v>0</v>
      </c>
      <c r="DJ31" s="58">
        <f t="shared" si="93"/>
        <v>0</v>
      </c>
      <c r="DK31" s="58">
        <f t="shared" si="93"/>
        <v>0</v>
      </c>
      <c r="DL31" s="58">
        <f t="shared" si="93"/>
        <v>0</v>
      </c>
      <c r="DM31" s="58">
        <f t="shared" si="93"/>
        <v>0</v>
      </c>
      <c r="DN31" s="58">
        <f t="shared" si="93"/>
        <v>0</v>
      </c>
      <c r="DO31" s="58">
        <f t="shared" si="93"/>
        <v>0</v>
      </c>
      <c r="DP31" s="58">
        <f t="shared" si="93"/>
        <v>0</v>
      </c>
      <c r="DQ31" s="58">
        <f t="shared" si="93"/>
        <v>0</v>
      </c>
      <c r="DR31" s="58">
        <f t="shared" si="93"/>
        <v>0</v>
      </c>
      <c r="DS31" s="58">
        <f t="shared" si="93"/>
        <v>0</v>
      </c>
      <c r="DT31" s="58">
        <f t="shared" si="93"/>
        <v>0</v>
      </c>
      <c r="DU31" s="58">
        <f t="shared" si="93"/>
        <v>0</v>
      </c>
      <c r="DV31" s="58">
        <f t="shared" si="93"/>
        <v>0</v>
      </c>
      <c r="DW31" s="58">
        <f t="shared" si="93"/>
        <v>0</v>
      </c>
      <c r="DX31" s="58">
        <f t="shared" si="93"/>
        <v>0</v>
      </c>
      <c r="DY31" s="58">
        <f t="shared" si="93"/>
        <v>0</v>
      </c>
      <c r="DZ31" s="58">
        <f t="shared" si="93"/>
        <v>0</v>
      </c>
      <c r="EA31" s="58">
        <f t="shared" si="93"/>
        <v>0</v>
      </c>
      <c r="EB31" s="58">
        <f t="shared" si="93"/>
        <v>0</v>
      </c>
      <c r="EC31" s="58">
        <f t="shared" si="93"/>
        <v>0</v>
      </c>
      <c r="ED31" s="58">
        <f t="shared" si="93"/>
        <v>0</v>
      </c>
      <c r="EE31" s="58">
        <f t="shared" si="93"/>
        <v>0</v>
      </c>
      <c r="EF31" s="58">
        <f t="shared" si="93"/>
        <v>0</v>
      </c>
      <c r="EG31" s="58">
        <f t="shared" si="93"/>
        <v>0</v>
      </c>
      <c r="EH31" s="58">
        <f t="shared" si="93"/>
        <v>0</v>
      </c>
      <c r="EI31" s="58">
        <f t="shared" si="93"/>
        <v>0</v>
      </c>
      <c r="EJ31" s="58">
        <f t="shared" si="93"/>
        <v>0</v>
      </c>
      <c r="EK31" s="58">
        <f t="shared" si="93"/>
        <v>0</v>
      </c>
      <c r="EL31" s="58">
        <f t="shared" si="93"/>
        <v>0</v>
      </c>
      <c r="EM31" s="58">
        <f t="shared" si="93"/>
        <v>0</v>
      </c>
      <c r="EN31" s="58">
        <f t="shared" si="93"/>
        <v>0</v>
      </c>
      <c r="EO31" s="58">
        <f t="shared" si="93"/>
        <v>0</v>
      </c>
      <c r="EP31" s="58">
        <f t="shared" si="93"/>
        <v>0</v>
      </c>
      <c r="EQ31" s="58">
        <f t="shared" si="93"/>
        <v>0</v>
      </c>
      <c r="ER31" s="58">
        <f t="shared" si="93"/>
        <v>0</v>
      </c>
      <c r="ES31" s="58">
        <f t="shared" si="93"/>
        <v>0</v>
      </c>
      <c r="ET31" s="58">
        <f t="shared" si="93"/>
        <v>0</v>
      </c>
      <c r="EU31" s="58">
        <f t="shared" ref="EU31:HF31" si="94">EU29+EU30</f>
        <v>0</v>
      </c>
      <c r="EV31" s="58">
        <f t="shared" si="94"/>
        <v>0</v>
      </c>
      <c r="EW31" s="58">
        <f t="shared" si="94"/>
        <v>0</v>
      </c>
      <c r="EX31" s="58">
        <f t="shared" si="94"/>
        <v>0</v>
      </c>
      <c r="EY31" s="58">
        <f t="shared" si="94"/>
        <v>0</v>
      </c>
      <c r="EZ31" s="58">
        <f t="shared" si="94"/>
        <v>0</v>
      </c>
      <c r="FA31" s="58">
        <f t="shared" si="94"/>
        <v>0</v>
      </c>
      <c r="FB31" s="58">
        <f t="shared" si="94"/>
        <v>0</v>
      </c>
      <c r="FC31" s="58">
        <f t="shared" si="94"/>
        <v>0</v>
      </c>
      <c r="FD31" s="58">
        <f t="shared" si="94"/>
        <v>0</v>
      </c>
      <c r="FE31" s="58">
        <f t="shared" si="94"/>
        <v>0</v>
      </c>
      <c r="FF31" s="58">
        <f t="shared" si="94"/>
        <v>0</v>
      </c>
      <c r="FG31" s="58">
        <f t="shared" si="94"/>
        <v>0</v>
      </c>
      <c r="FH31" s="58">
        <f t="shared" si="94"/>
        <v>0</v>
      </c>
      <c r="FI31" s="58">
        <f t="shared" si="94"/>
        <v>0</v>
      </c>
      <c r="FJ31" s="58">
        <f t="shared" si="94"/>
        <v>0</v>
      </c>
      <c r="FK31" s="58">
        <f t="shared" si="94"/>
        <v>0</v>
      </c>
      <c r="FL31" s="58">
        <f t="shared" si="94"/>
        <v>0</v>
      </c>
      <c r="FM31" s="58">
        <f t="shared" si="94"/>
        <v>0</v>
      </c>
      <c r="FN31" s="58">
        <f t="shared" si="94"/>
        <v>0</v>
      </c>
      <c r="FO31" s="58">
        <f t="shared" si="94"/>
        <v>0</v>
      </c>
      <c r="FP31" s="58">
        <f t="shared" si="94"/>
        <v>0</v>
      </c>
      <c r="FQ31" s="58">
        <f t="shared" si="94"/>
        <v>0</v>
      </c>
      <c r="FR31" s="58">
        <f t="shared" si="94"/>
        <v>0</v>
      </c>
      <c r="FS31" s="58">
        <f t="shared" si="94"/>
        <v>0</v>
      </c>
      <c r="FT31" s="58">
        <f t="shared" si="94"/>
        <v>0</v>
      </c>
      <c r="FU31" s="58">
        <f t="shared" si="94"/>
        <v>0</v>
      </c>
      <c r="FV31" s="58">
        <f t="shared" si="94"/>
        <v>0</v>
      </c>
      <c r="FW31" s="58">
        <f t="shared" si="94"/>
        <v>0</v>
      </c>
      <c r="FX31" s="58">
        <f t="shared" si="94"/>
        <v>0</v>
      </c>
      <c r="FY31" s="58">
        <f t="shared" si="94"/>
        <v>0</v>
      </c>
      <c r="FZ31" s="58">
        <f t="shared" si="94"/>
        <v>0</v>
      </c>
      <c r="GA31" s="58">
        <f t="shared" si="94"/>
        <v>0</v>
      </c>
      <c r="GB31" s="58">
        <f t="shared" si="94"/>
        <v>0</v>
      </c>
      <c r="GC31" s="58">
        <f t="shared" si="94"/>
        <v>0</v>
      </c>
      <c r="GD31" s="58">
        <f t="shared" si="94"/>
        <v>0</v>
      </c>
      <c r="GE31" s="58">
        <f t="shared" si="94"/>
        <v>0</v>
      </c>
      <c r="GF31" s="58">
        <f t="shared" si="94"/>
        <v>0</v>
      </c>
      <c r="GG31" s="58">
        <f t="shared" si="94"/>
        <v>0</v>
      </c>
      <c r="GH31" s="58">
        <f t="shared" si="94"/>
        <v>0</v>
      </c>
      <c r="GI31" s="58">
        <f t="shared" si="94"/>
        <v>0</v>
      </c>
      <c r="GJ31" s="58">
        <f t="shared" si="94"/>
        <v>0</v>
      </c>
      <c r="GK31" s="58">
        <f t="shared" si="94"/>
        <v>0</v>
      </c>
      <c r="GL31" s="58">
        <f t="shared" si="94"/>
        <v>0</v>
      </c>
      <c r="GM31" s="58">
        <f t="shared" si="94"/>
        <v>0</v>
      </c>
      <c r="GN31" s="58">
        <f t="shared" si="94"/>
        <v>0</v>
      </c>
      <c r="GO31" s="58">
        <f t="shared" si="94"/>
        <v>0</v>
      </c>
      <c r="GP31" s="58">
        <f t="shared" si="94"/>
        <v>0</v>
      </c>
      <c r="GQ31" s="58">
        <f t="shared" si="94"/>
        <v>0</v>
      </c>
      <c r="GR31" s="58">
        <f t="shared" si="94"/>
        <v>0</v>
      </c>
      <c r="GS31" s="58">
        <f t="shared" si="94"/>
        <v>0</v>
      </c>
      <c r="GT31" s="58">
        <f t="shared" si="94"/>
        <v>0</v>
      </c>
      <c r="GU31" s="58">
        <f t="shared" si="94"/>
        <v>0</v>
      </c>
      <c r="GV31" s="58">
        <f t="shared" si="94"/>
        <v>0</v>
      </c>
      <c r="GW31" s="58">
        <f t="shared" si="94"/>
        <v>0</v>
      </c>
      <c r="GX31" s="58">
        <f t="shared" si="94"/>
        <v>0</v>
      </c>
      <c r="GY31" s="58">
        <f t="shared" si="94"/>
        <v>0</v>
      </c>
      <c r="GZ31" s="58">
        <f t="shared" si="94"/>
        <v>0</v>
      </c>
      <c r="HA31" s="58">
        <f t="shared" si="94"/>
        <v>0</v>
      </c>
      <c r="HB31" s="58">
        <f t="shared" si="94"/>
        <v>0</v>
      </c>
      <c r="HC31" s="58">
        <f t="shared" si="94"/>
        <v>0</v>
      </c>
      <c r="HD31" s="58">
        <f t="shared" si="94"/>
        <v>0</v>
      </c>
      <c r="HE31" s="58">
        <f t="shared" si="94"/>
        <v>0</v>
      </c>
      <c r="HF31" s="58">
        <f t="shared" si="94"/>
        <v>0</v>
      </c>
      <c r="HG31" s="58">
        <f t="shared" ref="HG31:IB31" si="95">HG29+HG30</f>
        <v>0</v>
      </c>
      <c r="HH31" s="58">
        <f t="shared" si="95"/>
        <v>0</v>
      </c>
      <c r="HI31" s="58">
        <f t="shared" si="95"/>
        <v>0</v>
      </c>
      <c r="HJ31" s="58">
        <f t="shared" si="95"/>
        <v>0</v>
      </c>
      <c r="HK31" s="58">
        <f t="shared" si="95"/>
        <v>0</v>
      </c>
      <c r="HL31" s="58">
        <f t="shared" si="95"/>
        <v>0</v>
      </c>
      <c r="HM31" s="58">
        <f t="shared" si="95"/>
        <v>0</v>
      </c>
      <c r="HN31" s="58">
        <f t="shared" si="95"/>
        <v>0</v>
      </c>
      <c r="HO31" s="58">
        <f t="shared" si="95"/>
        <v>0</v>
      </c>
      <c r="HP31" s="58">
        <f t="shared" si="95"/>
        <v>0</v>
      </c>
      <c r="HQ31" s="58">
        <f t="shared" si="95"/>
        <v>0</v>
      </c>
      <c r="HR31" s="58">
        <f t="shared" si="95"/>
        <v>0</v>
      </c>
      <c r="HS31" s="58">
        <f t="shared" si="95"/>
        <v>0</v>
      </c>
      <c r="HT31" s="58">
        <f t="shared" si="95"/>
        <v>0</v>
      </c>
      <c r="HU31" s="58">
        <f t="shared" si="95"/>
        <v>0</v>
      </c>
      <c r="HV31" s="58">
        <f t="shared" si="95"/>
        <v>0</v>
      </c>
      <c r="HW31" s="58">
        <f t="shared" si="95"/>
        <v>0</v>
      </c>
      <c r="HX31" s="58">
        <f t="shared" si="95"/>
        <v>0</v>
      </c>
      <c r="HY31" s="58">
        <f t="shared" si="95"/>
        <v>0</v>
      </c>
      <c r="HZ31" s="58">
        <f t="shared" si="95"/>
        <v>0</v>
      </c>
      <c r="IA31" s="58">
        <f t="shared" si="95"/>
        <v>0</v>
      </c>
      <c r="IB31" s="58">
        <f t="shared" si="95"/>
        <v>0</v>
      </c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</row>
    <row r="32" spans="1:251" ht="18" customHeight="1" x14ac:dyDescent="0.3">
      <c r="H32" s="25"/>
      <c r="I32" s="167" t="s">
        <v>60</v>
      </c>
      <c r="J32" s="168">
        <f>(SUMIFS($U$16:$IB$16,$U$7:$IB$7,"&gt;="&amp;$U$7,$U$7:$IB$7,"&lt;="&amp;J$17)/Units)</f>
        <v>0</v>
      </c>
      <c r="K32" s="168">
        <f t="shared" ref="K32:P32" si="96">(SUMIFS($U$16:$IB$16,$U$7:$IB$7,"&gt;"&amp;J$17,$U$7:$IB$7,"&lt;="&amp;K$17)/Units)</f>
        <v>0</v>
      </c>
      <c r="L32" s="168">
        <f t="shared" si="96"/>
        <v>-53.125000000000014</v>
      </c>
      <c r="M32" s="168">
        <f t="shared" si="96"/>
        <v>-106.25000000000006</v>
      </c>
      <c r="N32" s="168">
        <f t="shared" si="96"/>
        <v>-53.125000000000028</v>
      </c>
      <c r="O32" s="168">
        <f t="shared" si="96"/>
        <v>0</v>
      </c>
      <c r="P32" s="168">
        <f t="shared" si="96"/>
        <v>0</v>
      </c>
      <c r="Q32" s="169">
        <f>SUM(J32:P32)</f>
        <v>-212.50000000000009</v>
      </c>
      <c r="R32" s="25"/>
      <c r="S32" s="1"/>
      <c r="T32" s="34" t="s">
        <v>61</v>
      </c>
      <c r="U32" s="34"/>
      <c r="V32" s="153">
        <f>IF(V48="Actual",0,IF(V7&gt;=$E$11,0,MIN(-MIN(V31,U25*$E$18),0)))</f>
        <v>-671756.61738968384</v>
      </c>
      <c r="W32" s="153">
        <f>IF(W7&gt;=$E$11,0,MIN(-MIN(W31,V25*$E$18),0))</f>
        <v>-714947.14405113691</v>
      </c>
      <c r="X32" s="153">
        <f t="shared" ref="X32:CH32" si="97">IF(X48="Actual",0,IF(X7&gt;=$E$11,0,MIN(-MIN(X31,W25*$E$18),0)))</f>
        <v>-758337.85863054183</v>
      </c>
      <c r="Y32" s="153">
        <f t="shared" si="97"/>
        <v>-801929.79123146308</v>
      </c>
      <c r="Z32" s="153">
        <f t="shared" si="97"/>
        <v>-845723.97725805105</v>
      </c>
      <c r="AA32" s="153">
        <f t="shared" si="97"/>
        <v>-889721.45744231774</v>
      </c>
      <c r="AB32" s="153">
        <f t="shared" si="97"/>
        <v>-933923.27787155239</v>
      </c>
      <c r="AC32" s="153">
        <f t="shared" si="97"/>
        <v>-978330.49001587764</v>
      </c>
      <c r="AD32" s="153">
        <f t="shared" si="97"/>
        <v>-1022944.1507559479</v>
      </c>
      <c r="AE32" s="153">
        <f t="shared" si="97"/>
        <v>-1067765.3224107909</v>
      </c>
      <c r="AF32" s="153">
        <f t="shared" si="97"/>
        <v>-1112795.0727657906</v>
      </c>
      <c r="AG32" s="153">
        <f t="shared" si="97"/>
        <v>-1158034.4751008169</v>
      </c>
      <c r="AH32" s="153">
        <f t="shared" si="97"/>
        <v>-1203484.6082184971</v>
      </c>
      <c r="AI32" s="153">
        <f t="shared" si="97"/>
        <v>-1249146.5564726347</v>
      </c>
      <c r="AJ32" s="153">
        <f t="shared" si="97"/>
        <v>-1295021.4097967744</v>
      </c>
      <c r="AK32" s="153">
        <f t="shared" si="97"/>
        <v>-1341110.2637329132</v>
      </c>
      <c r="AL32" s="153">
        <f t="shared" si="97"/>
        <v>-1387414.2194603605</v>
      </c>
      <c r="AM32" s="153">
        <f t="shared" si="97"/>
        <v>-1433934.3838247445</v>
      </c>
      <c r="AN32" s="153">
        <f t="shared" si="97"/>
        <v>-1480671.8693671708</v>
      </c>
      <c r="AO32" s="153">
        <f t="shared" si="97"/>
        <v>-1487524.4481519077</v>
      </c>
      <c r="AP32" s="153">
        <f t="shared" si="97"/>
        <v>-1494412.2881347334</v>
      </c>
      <c r="AQ32" s="153">
        <f t="shared" si="97"/>
        <v>-1501335.5707585954</v>
      </c>
      <c r="AR32" s="153">
        <f t="shared" si="97"/>
        <v>-1508294.4784000884</v>
      </c>
      <c r="AS32" s="153">
        <f t="shared" si="97"/>
        <v>-1515289.1943742603</v>
      </c>
      <c r="AT32" s="153">
        <f t="shared" si="97"/>
        <v>-1522319.9029394388</v>
      </c>
      <c r="AU32" s="153">
        <f t="shared" si="97"/>
        <v>-1529386.7893020874</v>
      </c>
      <c r="AV32" s="153">
        <f t="shared" si="97"/>
        <v>-1536490.0396216835</v>
      </c>
      <c r="AW32" s="153">
        <f t="shared" si="97"/>
        <v>-1543629.8410156213</v>
      </c>
      <c r="AX32" s="153">
        <f t="shared" si="97"/>
        <v>-1550806.3815641426</v>
      </c>
      <c r="AY32" s="153">
        <f t="shared" si="97"/>
        <v>-1558019.8503152903</v>
      </c>
      <c r="AZ32" s="153">
        <f t="shared" si="97"/>
        <v>-1565270.437289888</v>
      </c>
      <c r="BA32" s="153">
        <f t="shared" si="97"/>
        <v>-1507035.0695912745</v>
      </c>
      <c r="BB32" s="153">
        <f t="shared" si="97"/>
        <v>-1448226.7533128059</v>
      </c>
      <c r="BC32" s="153">
        <f t="shared" si="97"/>
        <v>-1388840.9696521875</v>
      </c>
      <c r="BD32" s="153">
        <f t="shared" si="97"/>
        <v>-1328873.1684730398</v>
      </c>
      <c r="BE32" s="153">
        <f t="shared" si="97"/>
        <v>-1268318.7681020766</v>
      </c>
      <c r="BF32" s="153">
        <f t="shared" si="97"/>
        <v>-1207173.1551250259</v>
      </c>
      <c r="BG32" s="153">
        <f t="shared" si="97"/>
        <v>-1145431.6841812865</v>
      </c>
      <c r="BH32" s="153">
        <f t="shared" si="97"/>
        <v>-1083089.6777573088</v>
      </c>
      <c r="BI32" s="153">
        <f t="shared" si="97"/>
        <v>-1020142.4259786996</v>
      </c>
      <c r="BJ32" s="153">
        <f t="shared" si="97"/>
        <v>-956585.18640103482</v>
      </c>
      <c r="BK32" s="153">
        <f t="shared" si="97"/>
        <v>-892413.18379937788</v>
      </c>
      <c r="BL32" s="153">
        <f t="shared" si="97"/>
        <v>-827621.60995649453</v>
      </c>
      <c r="BM32" s="153">
        <f t="shared" si="97"/>
        <v>-762205.6234497549</v>
      </c>
      <c r="BN32" s="153">
        <f t="shared" si="97"/>
        <v>-696160.34943671804</v>
      </c>
      <c r="BO32" s="153">
        <f t="shared" si="97"/>
        <v>-629480.879439387</v>
      </c>
      <c r="BP32" s="153">
        <f t="shared" si="97"/>
        <v>-562162.27112712932</v>
      </c>
      <c r="BQ32" s="153">
        <f t="shared" si="97"/>
        <v>-494199.54809825483</v>
      </c>
      <c r="BR32" s="153">
        <f t="shared" si="97"/>
        <v>-425587.6996602405</v>
      </c>
      <c r="BS32" s="153">
        <f t="shared" si="97"/>
        <v>-356321.68060859642</v>
      </c>
      <c r="BT32" s="153">
        <f t="shared" si="97"/>
        <v>-286396.41100436437</v>
      </c>
      <c r="BU32" s="153">
        <f t="shared" si="97"/>
        <v>-215806.77595023974</v>
      </c>
      <c r="BV32" s="153">
        <f t="shared" si="97"/>
        <v>-144547.62536530878</v>
      </c>
      <c r="BW32" s="153">
        <f t="shared" si="97"/>
        <v>0</v>
      </c>
      <c r="BX32" s="153">
        <f t="shared" si="97"/>
        <v>0</v>
      </c>
      <c r="BY32" s="153">
        <f t="shared" si="97"/>
        <v>0</v>
      </c>
      <c r="BZ32" s="153">
        <f t="shared" si="97"/>
        <v>0</v>
      </c>
      <c r="CA32" s="153">
        <f t="shared" si="97"/>
        <v>0</v>
      </c>
      <c r="CB32" s="153">
        <f t="shared" si="97"/>
        <v>0</v>
      </c>
      <c r="CC32" s="153">
        <f t="shared" si="97"/>
        <v>0</v>
      </c>
      <c r="CD32" s="153">
        <f t="shared" si="97"/>
        <v>0</v>
      </c>
      <c r="CE32" s="153">
        <f t="shared" si="97"/>
        <v>0</v>
      </c>
      <c r="CF32" s="153">
        <f t="shared" si="97"/>
        <v>0</v>
      </c>
      <c r="CG32" s="153">
        <f t="shared" si="97"/>
        <v>0</v>
      </c>
      <c r="CH32" s="153">
        <f t="shared" si="97"/>
        <v>0</v>
      </c>
      <c r="CI32" s="153">
        <f t="shared" ref="CI32:ET32" si="98">IF(CI48="Actual",0,IF(CI7&gt;=$E$11,0,MIN(-MIN(CI31,CH25*$E$18),0)))</f>
        <v>0</v>
      </c>
      <c r="CJ32" s="153">
        <f t="shared" si="98"/>
        <v>0</v>
      </c>
      <c r="CK32" s="153">
        <f t="shared" si="98"/>
        <v>0</v>
      </c>
      <c r="CL32" s="153">
        <f t="shared" si="98"/>
        <v>0</v>
      </c>
      <c r="CM32" s="153">
        <f t="shared" si="98"/>
        <v>0</v>
      </c>
      <c r="CN32" s="153">
        <f t="shared" si="98"/>
        <v>0</v>
      </c>
      <c r="CO32" s="153">
        <f t="shared" si="98"/>
        <v>0</v>
      </c>
      <c r="CP32" s="153">
        <f t="shared" si="98"/>
        <v>0</v>
      </c>
      <c r="CQ32" s="153">
        <f t="shared" si="98"/>
        <v>0</v>
      </c>
      <c r="CR32" s="153">
        <f t="shared" si="98"/>
        <v>0</v>
      </c>
      <c r="CS32" s="153">
        <f t="shared" si="98"/>
        <v>0</v>
      </c>
      <c r="CT32" s="153">
        <f t="shared" si="98"/>
        <v>0</v>
      </c>
      <c r="CU32" s="153">
        <f t="shared" si="98"/>
        <v>0</v>
      </c>
      <c r="CV32" s="153">
        <f t="shared" si="98"/>
        <v>0</v>
      </c>
      <c r="CW32" s="153">
        <f t="shared" si="98"/>
        <v>0</v>
      </c>
      <c r="CX32" s="153">
        <f t="shared" si="98"/>
        <v>0</v>
      </c>
      <c r="CY32" s="153">
        <f t="shared" si="98"/>
        <v>0</v>
      </c>
      <c r="CZ32" s="153">
        <f t="shared" si="98"/>
        <v>0</v>
      </c>
      <c r="DA32" s="153">
        <f t="shared" si="98"/>
        <v>0</v>
      </c>
      <c r="DB32" s="153">
        <f t="shared" si="98"/>
        <v>0</v>
      </c>
      <c r="DC32" s="153">
        <f t="shared" si="98"/>
        <v>0</v>
      </c>
      <c r="DD32" s="153">
        <f t="shared" si="98"/>
        <v>0</v>
      </c>
      <c r="DE32" s="153">
        <f t="shared" si="98"/>
        <v>0</v>
      </c>
      <c r="DF32" s="153">
        <f t="shared" si="98"/>
        <v>0</v>
      </c>
      <c r="DG32" s="153">
        <f t="shared" si="98"/>
        <v>0</v>
      </c>
      <c r="DH32" s="153">
        <f t="shared" si="98"/>
        <v>0</v>
      </c>
      <c r="DI32" s="153">
        <f t="shared" si="98"/>
        <v>0</v>
      </c>
      <c r="DJ32" s="153">
        <f t="shared" si="98"/>
        <v>0</v>
      </c>
      <c r="DK32" s="153">
        <f t="shared" si="98"/>
        <v>0</v>
      </c>
      <c r="DL32" s="153">
        <f t="shared" si="98"/>
        <v>0</v>
      </c>
      <c r="DM32" s="153">
        <f t="shared" si="98"/>
        <v>0</v>
      </c>
      <c r="DN32" s="153">
        <f t="shared" si="98"/>
        <v>0</v>
      </c>
      <c r="DO32" s="153">
        <f t="shared" si="98"/>
        <v>0</v>
      </c>
      <c r="DP32" s="153">
        <f t="shared" si="98"/>
        <v>0</v>
      </c>
      <c r="DQ32" s="153">
        <f t="shared" si="98"/>
        <v>0</v>
      </c>
      <c r="DR32" s="153">
        <f t="shared" si="98"/>
        <v>0</v>
      </c>
      <c r="DS32" s="153">
        <f t="shared" si="98"/>
        <v>0</v>
      </c>
      <c r="DT32" s="153">
        <f t="shared" si="98"/>
        <v>0</v>
      </c>
      <c r="DU32" s="153">
        <f t="shared" si="98"/>
        <v>0</v>
      </c>
      <c r="DV32" s="153">
        <f t="shared" si="98"/>
        <v>0</v>
      </c>
      <c r="DW32" s="153">
        <f t="shared" si="98"/>
        <v>0</v>
      </c>
      <c r="DX32" s="153">
        <f t="shared" si="98"/>
        <v>0</v>
      </c>
      <c r="DY32" s="153">
        <f t="shared" si="98"/>
        <v>0</v>
      </c>
      <c r="DZ32" s="153">
        <f t="shared" si="98"/>
        <v>0</v>
      </c>
      <c r="EA32" s="153">
        <f t="shared" si="98"/>
        <v>0</v>
      </c>
      <c r="EB32" s="153">
        <f t="shared" si="98"/>
        <v>0</v>
      </c>
      <c r="EC32" s="153">
        <f t="shared" si="98"/>
        <v>0</v>
      </c>
      <c r="ED32" s="153">
        <f t="shared" si="98"/>
        <v>0</v>
      </c>
      <c r="EE32" s="153">
        <f t="shared" si="98"/>
        <v>0</v>
      </c>
      <c r="EF32" s="153">
        <f t="shared" si="98"/>
        <v>0</v>
      </c>
      <c r="EG32" s="153">
        <f t="shared" si="98"/>
        <v>0</v>
      </c>
      <c r="EH32" s="153">
        <f t="shared" si="98"/>
        <v>0</v>
      </c>
      <c r="EI32" s="153">
        <f t="shared" si="98"/>
        <v>0</v>
      </c>
      <c r="EJ32" s="153">
        <f t="shared" si="98"/>
        <v>0</v>
      </c>
      <c r="EK32" s="153">
        <f t="shared" si="98"/>
        <v>0</v>
      </c>
      <c r="EL32" s="153">
        <f t="shared" si="98"/>
        <v>0</v>
      </c>
      <c r="EM32" s="153">
        <f t="shared" si="98"/>
        <v>0</v>
      </c>
      <c r="EN32" s="153">
        <f t="shared" si="98"/>
        <v>0</v>
      </c>
      <c r="EO32" s="153">
        <f t="shared" si="98"/>
        <v>0</v>
      </c>
      <c r="EP32" s="153">
        <f t="shared" si="98"/>
        <v>0</v>
      </c>
      <c r="EQ32" s="153">
        <f t="shared" si="98"/>
        <v>0</v>
      </c>
      <c r="ER32" s="153">
        <f t="shared" si="98"/>
        <v>0</v>
      </c>
      <c r="ES32" s="153">
        <f t="shared" si="98"/>
        <v>0</v>
      </c>
      <c r="ET32" s="153">
        <f t="shared" si="98"/>
        <v>0</v>
      </c>
      <c r="EU32" s="153">
        <f t="shared" ref="EU32:HF32" si="99">IF(EU48="Actual",0,IF(EU7&gt;=$E$11,0,MIN(-MIN(EU31,ET25*$E$18),0)))</f>
        <v>0</v>
      </c>
      <c r="EV32" s="153">
        <f t="shared" si="99"/>
        <v>0</v>
      </c>
      <c r="EW32" s="153">
        <f t="shared" si="99"/>
        <v>0</v>
      </c>
      <c r="EX32" s="153">
        <f t="shared" si="99"/>
        <v>0</v>
      </c>
      <c r="EY32" s="153">
        <f t="shared" si="99"/>
        <v>0</v>
      </c>
      <c r="EZ32" s="153">
        <f t="shared" si="99"/>
        <v>0</v>
      </c>
      <c r="FA32" s="153">
        <f t="shared" si="99"/>
        <v>0</v>
      </c>
      <c r="FB32" s="153">
        <f t="shared" si="99"/>
        <v>0</v>
      </c>
      <c r="FC32" s="153">
        <f t="shared" si="99"/>
        <v>0</v>
      </c>
      <c r="FD32" s="153">
        <f t="shared" si="99"/>
        <v>0</v>
      </c>
      <c r="FE32" s="153">
        <f t="shared" si="99"/>
        <v>0</v>
      </c>
      <c r="FF32" s="153">
        <f t="shared" si="99"/>
        <v>0</v>
      </c>
      <c r="FG32" s="153">
        <f t="shared" si="99"/>
        <v>0</v>
      </c>
      <c r="FH32" s="153">
        <f t="shared" si="99"/>
        <v>0</v>
      </c>
      <c r="FI32" s="153">
        <f t="shared" si="99"/>
        <v>0</v>
      </c>
      <c r="FJ32" s="153">
        <f t="shared" si="99"/>
        <v>0</v>
      </c>
      <c r="FK32" s="153">
        <f t="shared" si="99"/>
        <v>0</v>
      </c>
      <c r="FL32" s="153">
        <f t="shared" si="99"/>
        <v>0</v>
      </c>
      <c r="FM32" s="153">
        <f t="shared" si="99"/>
        <v>0</v>
      </c>
      <c r="FN32" s="153">
        <f t="shared" si="99"/>
        <v>0</v>
      </c>
      <c r="FO32" s="153">
        <f t="shared" si="99"/>
        <v>0</v>
      </c>
      <c r="FP32" s="153">
        <f t="shared" si="99"/>
        <v>0</v>
      </c>
      <c r="FQ32" s="153">
        <f t="shared" si="99"/>
        <v>0</v>
      </c>
      <c r="FR32" s="153">
        <f t="shared" si="99"/>
        <v>0</v>
      </c>
      <c r="FS32" s="153">
        <f t="shared" si="99"/>
        <v>0</v>
      </c>
      <c r="FT32" s="153">
        <f t="shared" si="99"/>
        <v>0</v>
      </c>
      <c r="FU32" s="153">
        <f t="shared" si="99"/>
        <v>0</v>
      </c>
      <c r="FV32" s="153">
        <f t="shared" si="99"/>
        <v>0</v>
      </c>
      <c r="FW32" s="153">
        <f t="shared" si="99"/>
        <v>0</v>
      </c>
      <c r="FX32" s="153">
        <f t="shared" si="99"/>
        <v>0</v>
      </c>
      <c r="FY32" s="153">
        <f t="shared" si="99"/>
        <v>0</v>
      </c>
      <c r="FZ32" s="153">
        <f t="shared" si="99"/>
        <v>0</v>
      </c>
      <c r="GA32" s="153">
        <f t="shared" si="99"/>
        <v>0</v>
      </c>
      <c r="GB32" s="153">
        <f t="shared" si="99"/>
        <v>0</v>
      </c>
      <c r="GC32" s="153">
        <f t="shared" si="99"/>
        <v>0</v>
      </c>
      <c r="GD32" s="153">
        <f t="shared" si="99"/>
        <v>0</v>
      </c>
      <c r="GE32" s="153">
        <f t="shared" si="99"/>
        <v>0</v>
      </c>
      <c r="GF32" s="153">
        <f t="shared" si="99"/>
        <v>0</v>
      </c>
      <c r="GG32" s="153">
        <f t="shared" si="99"/>
        <v>0</v>
      </c>
      <c r="GH32" s="153">
        <f t="shared" si="99"/>
        <v>0</v>
      </c>
      <c r="GI32" s="153">
        <f t="shared" si="99"/>
        <v>0</v>
      </c>
      <c r="GJ32" s="153">
        <f t="shared" si="99"/>
        <v>0</v>
      </c>
      <c r="GK32" s="153">
        <f t="shared" si="99"/>
        <v>0</v>
      </c>
      <c r="GL32" s="153">
        <f t="shared" si="99"/>
        <v>0</v>
      </c>
      <c r="GM32" s="153">
        <f t="shared" si="99"/>
        <v>0</v>
      </c>
      <c r="GN32" s="153">
        <f t="shared" si="99"/>
        <v>0</v>
      </c>
      <c r="GO32" s="153">
        <f t="shared" si="99"/>
        <v>0</v>
      </c>
      <c r="GP32" s="153">
        <f t="shared" si="99"/>
        <v>0</v>
      </c>
      <c r="GQ32" s="153">
        <f t="shared" si="99"/>
        <v>0</v>
      </c>
      <c r="GR32" s="153">
        <f t="shared" si="99"/>
        <v>0</v>
      </c>
      <c r="GS32" s="153">
        <f t="shared" si="99"/>
        <v>0</v>
      </c>
      <c r="GT32" s="153">
        <f t="shared" si="99"/>
        <v>0</v>
      </c>
      <c r="GU32" s="153">
        <f t="shared" si="99"/>
        <v>0</v>
      </c>
      <c r="GV32" s="153">
        <f t="shared" si="99"/>
        <v>0</v>
      </c>
      <c r="GW32" s="153">
        <f t="shared" si="99"/>
        <v>0</v>
      </c>
      <c r="GX32" s="153">
        <f t="shared" si="99"/>
        <v>0</v>
      </c>
      <c r="GY32" s="153">
        <f t="shared" si="99"/>
        <v>0</v>
      </c>
      <c r="GZ32" s="153">
        <f t="shared" si="99"/>
        <v>0</v>
      </c>
      <c r="HA32" s="153">
        <f t="shared" si="99"/>
        <v>0</v>
      </c>
      <c r="HB32" s="153">
        <f t="shared" si="99"/>
        <v>0</v>
      </c>
      <c r="HC32" s="153">
        <f t="shared" si="99"/>
        <v>0</v>
      </c>
      <c r="HD32" s="153">
        <f t="shared" si="99"/>
        <v>0</v>
      </c>
      <c r="HE32" s="153">
        <f t="shared" si="99"/>
        <v>0</v>
      </c>
      <c r="HF32" s="153">
        <f t="shared" si="99"/>
        <v>0</v>
      </c>
      <c r="HG32" s="153">
        <f t="shared" ref="HG32:IB32" si="100">IF(HG48="Actual",0,IF(HG7&gt;=$E$11,0,MIN(-MIN(HG31,HF25*$E$18),0)))</f>
        <v>0</v>
      </c>
      <c r="HH32" s="153">
        <f t="shared" si="100"/>
        <v>0</v>
      </c>
      <c r="HI32" s="153">
        <f t="shared" si="100"/>
        <v>0</v>
      </c>
      <c r="HJ32" s="153">
        <f t="shared" si="100"/>
        <v>0</v>
      </c>
      <c r="HK32" s="153">
        <f t="shared" si="100"/>
        <v>0</v>
      </c>
      <c r="HL32" s="153">
        <f t="shared" si="100"/>
        <v>0</v>
      </c>
      <c r="HM32" s="153">
        <f t="shared" si="100"/>
        <v>0</v>
      </c>
      <c r="HN32" s="153">
        <f t="shared" si="100"/>
        <v>0</v>
      </c>
      <c r="HO32" s="153">
        <f t="shared" si="100"/>
        <v>0</v>
      </c>
      <c r="HP32" s="153">
        <f t="shared" si="100"/>
        <v>0</v>
      </c>
      <c r="HQ32" s="153">
        <f t="shared" si="100"/>
        <v>0</v>
      </c>
      <c r="HR32" s="153">
        <f t="shared" si="100"/>
        <v>0</v>
      </c>
      <c r="HS32" s="153">
        <f t="shared" si="100"/>
        <v>0</v>
      </c>
      <c r="HT32" s="153">
        <f t="shared" si="100"/>
        <v>0</v>
      </c>
      <c r="HU32" s="153">
        <f t="shared" si="100"/>
        <v>0</v>
      </c>
      <c r="HV32" s="153">
        <f t="shared" si="100"/>
        <v>0</v>
      </c>
      <c r="HW32" s="153">
        <f t="shared" si="100"/>
        <v>0</v>
      </c>
      <c r="HX32" s="153">
        <f t="shared" si="100"/>
        <v>0</v>
      </c>
      <c r="HY32" s="153">
        <f t="shared" si="100"/>
        <v>0</v>
      </c>
      <c r="HZ32" s="153">
        <f t="shared" si="100"/>
        <v>0</v>
      </c>
      <c r="IA32" s="153">
        <f t="shared" si="100"/>
        <v>0</v>
      </c>
      <c r="IB32" s="153">
        <f t="shared" si="100"/>
        <v>0</v>
      </c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</row>
    <row r="33" spans="1:251" ht="18" customHeight="1" x14ac:dyDescent="0.3">
      <c r="D33" s="170" t="s">
        <v>62</v>
      </c>
      <c r="E33" s="171"/>
      <c r="F33" s="172"/>
      <c r="H33" s="25"/>
      <c r="I33" s="167" t="s">
        <v>61</v>
      </c>
      <c r="J33" s="168">
        <f>SUMIFS($U$32:$IB$32,$U$7:$IB$7,"&gt;="&amp;$U$7,$U$7:$IB$7,"&lt;="&amp;J$17)/Units</f>
        <v>-10.956209634923971</v>
      </c>
      <c r="K33" s="168">
        <f t="shared" ref="K33:P33" si="101">SUMIFS($U$32:$IB$32,$U$7:$IB$7,"&gt;"&amp;J$17,$U$7:$IB$7,"&lt;="&amp;K$17)/Units</f>
        <v>-16.89763929069268</v>
      </c>
      <c r="L33" s="168">
        <f t="shared" si="101"/>
        <v>-17.747217971179534</v>
      </c>
      <c r="M33" s="168">
        <f t="shared" si="101"/>
        <v>-10.276665594750474</v>
      </c>
      <c r="N33" s="168">
        <f t="shared" si="101"/>
        <v>-1.4286601925887499</v>
      </c>
      <c r="O33" s="168">
        <f t="shared" si="101"/>
        <v>0</v>
      </c>
      <c r="P33" s="168">
        <f t="shared" si="101"/>
        <v>0</v>
      </c>
      <c r="Q33" s="169">
        <f t="shared" ref="Q33:Q34" si="102">SUM(J33:P33)</f>
        <v>-57.30639268413541</v>
      </c>
      <c r="R33" s="25"/>
      <c r="S33" s="1"/>
      <c r="T33" s="34" t="s">
        <v>63</v>
      </c>
      <c r="U33" s="34"/>
      <c r="V33" s="153">
        <f>V31+V32</f>
        <v>470736.16265199706</v>
      </c>
      <c r="W33" s="153">
        <f t="shared" ref="W33:CH33" si="103">W31+W32</f>
        <v>501261.00353258103</v>
      </c>
      <c r="X33" s="153">
        <f t="shared" si="103"/>
        <v>531942.91556765127</v>
      </c>
      <c r="Y33" s="153">
        <f t="shared" si="103"/>
        <v>562782.70699557511</v>
      </c>
      <c r="Z33" s="153">
        <f t="shared" si="103"/>
        <v>593781.19021365908</v>
      </c>
      <c r="AA33" s="153">
        <f t="shared" si="103"/>
        <v>624939.1817995481</v>
      </c>
      <c r="AB33" s="153">
        <f t="shared" si="103"/>
        <v>656257.50253273756</v>
      </c>
      <c r="AC33" s="153">
        <f t="shared" si="103"/>
        <v>687736.97741619335</v>
      </c>
      <c r="AD33" s="153">
        <f t="shared" si="103"/>
        <v>719378.435698085</v>
      </c>
      <c r="AE33" s="153">
        <f t="shared" si="103"/>
        <v>751182.71089363052</v>
      </c>
      <c r="AF33" s="153">
        <f t="shared" si="103"/>
        <v>783150.64080705377</v>
      </c>
      <c r="AG33" s="153">
        <f t="shared" si="103"/>
        <v>815283.06755365129</v>
      </c>
      <c r="AH33" s="153">
        <f t="shared" si="103"/>
        <v>847580.83758198027</v>
      </c>
      <c r="AI33" s="153">
        <f t="shared" si="103"/>
        <v>880044.80169615359</v>
      </c>
      <c r="AJ33" s="153">
        <f t="shared" si="103"/>
        <v>912675.81507825106</v>
      </c>
      <c r="AK33" s="153">
        <f t="shared" si="103"/>
        <v>945474.73731084843</v>
      </c>
      <c r="AL33" s="153">
        <f t="shared" si="103"/>
        <v>978442.43239966244</v>
      </c>
      <c r="AM33" s="153">
        <f t="shared" si="103"/>
        <v>1011579.7687963087</v>
      </c>
      <c r="AN33" s="153">
        <f t="shared" si="103"/>
        <v>1044887.6194211787</v>
      </c>
      <c r="AO33" s="153">
        <f t="shared" si="103"/>
        <v>1050264.2798707003</v>
      </c>
      <c r="AP33" s="153">
        <f t="shared" si="103"/>
        <v>1055668.606910439</v>
      </c>
      <c r="AQ33" s="153">
        <f t="shared" si="103"/>
        <v>1061100.7429038973</v>
      </c>
      <c r="AR33" s="153">
        <f t="shared" si="103"/>
        <v>1066560.8309471356</v>
      </c>
      <c r="AS33" s="153">
        <f t="shared" si="103"/>
        <v>1072049.0148725414</v>
      </c>
      <c r="AT33" s="153">
        <f t="shared" si="103"/>
        <v>1077565.4392526164</v>
      </c>
      <c r="AU33" s="153">
        <f t="shared" si="103"/>
        <v>1083110.2494037892</v>
      </c>
      <c r="AV33" s="153">
        <f t="shared" si="103"/>
        <v>1088683.5913902384</v>
      </c>
      <c r="AW33" s="153">
        <f t="shared" si="103"/>
        <v>1094285.6120277431</v>
      </c>
      <c r="AX33" s="153">
        <f t="shared" si="103"/>
        <v>1099916.4588875514</v>
      </c>
      <c r="AY33" s="153">
        <f t="shared" si="103"/>
        <v>1105576.2803002645</v>
      </c>
      <c r="AZ33" s="153">
        <f t="shared" si="103"/>
        <v>1111265.2253597463</v>
      </c>
      <c r="BA33" s="153">
        <f t="shared" si="103"/>
        <v>1070442.4670967567</v>
      </c>
      <c r="BB33" s="153">
        <f t="shared" si="103"/>
        <v>1029170.1627481712</v>
      </c>
      <c r="BC33" s="153">
        <f t="shared" si="103"/>
        <v>987444.76677787257</v>
      </c>
      <c r="BD33" s="153">
        <f t="shared" si="103"/>
        <v>945262.70906443894</v>
      </c>
      <c r="BE33" s="153">
        <f t="shared" si="103"/>
        <v>902620.39474200807</v>
      </c>
      <c r="BF33" s="153">
        <f t="shared" si="103"/>
        <v>859514.20404014853</v>
      </c>
      <c r="BG33" s="153">
        <f t="shared" si="103"/>
        <v>815940.4921227484</v>
      </c>
      <c r="BH33" s="153">
        <f t="shared" si="103"/>
        <v>771895.58892589551</v>
      </c>
      <c r="BI33" s="153">
        <f t="shared" si="103"/>
        <v>727375.79899475921</v>
      </c>
      <c r="BJ33" s="153">
        <f t="shared" si="103"/>
        <v>682377.40131945827</v>
      </c>
      <c r="BK33" s="153">
        <f t="shared" si="103"/>
        <v>636896.64916991326</v>
      </c>
      <c r="BL33" s="153">
        <f t="shared" si="103"/>
        <v>590929.76992967608</v>
      </c>
      <c r="BM33" s="153">
        <f t="shared" si="103"/>
        <v>544472.96492872946</v>
      </c>
      <c r="BN33" s="153">
        <f t="shared" si="103"/>
        <v>497522.40927525074</v>
      </c>
      <c r="BO33" s="153">
        <f t="shared" si="103"/>
        <v>450074.25168633834</v>
      </c>
      <c r="BP33" s="153">
        <f t="shared" si="103"/>
        <v>402124.61431768315</v>
      </c>
      <c r="BQ33" s="153">
        <f t="shared" si="103"/>
        <v>353669.59259219235</v>
      </c>
      <c r="BR33" s="153">
        <f t="shared" si="103"/>
        <v>304705.25502754975</v>
      </c>
      <c r="BS33" s="153">
        <f t="shared" si="103"/>
        <v>255227.6430627096</v>
      </c>
      <c r="BT33" s="153">
        <f t="shared" si="103"/>
        <v>205232.7708833181</v>
      </c>
      <c r="BU33" s="153">
        <f t="shared" si="103"/>
        <v>154716.62524605333</v>
      </c>
      <c r="BV33" s="153">
        <f t="shared" si="103"/>
        <v>103675.1653018822</v>
      </c>
      <c r="BW33" s="153">
        <f t="shared" si="103"/>
        <v>124718.09617661548</v>
      </c>
      <c r="BX33" s="153">
        <f t="shared" si="103"/>
        <v>0</v>
      </c>
      <c r="BY33" s="153">
        <f t="shared" si="103"/>
        <v>0</v>
      </c>
      <c r="BZ33" s="153">
        <f t="shared" si="103"/>
        <v>0</v>
      </c>
      <c r="CA33" s="153">
        <f t="shared" si="103"/>
        <v>0</v>
      </c>
      <c r="CB33" s="153">
        <f t="shared" si="103"/>
        <v>0</v>
      </c>
      <c r="CC33" s="153">
        <f t="shared" si="103"/>
        <v>0</v>
      </c>
      <c r="CD33" s="153">
        <f t="shared" si="103"/>
        <v>0</v>
      </c>
      <c r="CE33" s="153">
        <f t="shared" si="103"/>
        <v>0</v>
      </c>
      <c r="CF33" s="153">
        <f t="shared" si="103"/>
        <v>0</v>
      </c>
      <c r="CG33" s="153">
        <f t="shared" si="103"/>
        <v>0</v>
      </c>
      <c r="CH33" s="153">
        <f t="shared" si="103"/>
        <v>0</v>
      </c>
      <c r="CI33" s="153">
        <f t="shared" ref="CI33:ET33" si="104">CI31+CI32</f>
        <v>0</v>
      </c>
      <c r="CJ33" s="153">
        <f t="shared" si="104"/>
        <v>0</v>
      </c>
      <c r="CK33" s="153">
        <f t="shared" si="104"/>
        <v>0</v>
      </c>
      <c r="CL33" s="153">
        <f t="shared" si="104"/>
        <v>0</v>
      </c>
      <c r="CM33" s="153">
        <f t="shared" si="104"/>
        <v>0</v>
      </c>
      <c r="CN33" s="153">
        <f t="shared" si="104"/>
        <v>0</v>
      </c>
      <c r="CO33" s="153">
        <f t="shared" si="104"/>
        <v>0</v>
      </c>
      <c r="CP33" s="153">
        <f t="shared" si="104"/>
        <v>0</v>
      </c>
      <c r="CQ33" s="153">
        <f t="shared" si="104"/>
        <v>0</v>
      </c>
      <c r="CR33" s="153">
        <f t="shared" si="104"/>
        <v>0</v>
      </c>
      <c r="CS33" s="153">
        <f t="shared" si="104"/>
        <v>0</v>
      </c>
      <c r="CT33" s="153">
        <f t="shared" si="104"/>
        <v>0</v>
      </c>
      <c r="CU33" s="153">
        <f t="shared" si="104"/>
        <v>0</v>
      </c>
      <c r="CV33" s="153">
        <f t="shared" si="104"/>
        <v>0</v>
      </c>
      <c r="CW33" s="153">
        <f t="shared" si="104"/>
        <v>0</v>
      </c>
      <c r="CX33" s="153">
        <f t="shared" si="104"/>
        <v>0</v>
      </c>
      <c r="CY33" s="153">
        <f t="shared" si="104"/>
        <v>0</v>
      </c>
      <c r="CZ33" s="153">
        <f t="shared" si="104"/>
        <v>0</v>
      </c>
      <c r="DA33" s="153">
        <f t="shared" si="104"/>
        <v>0</v>
      </c>
      <c r="DB33" s="153">
        <f t="shared" si="104"/>
        <v>0</v>
      </c>
      <c r="DC33" s="153">
        <f t="shared" si="104"/>
        <v>0</v>
      </c>
      <c r="DD33" s="153">
        <f t="shared" si="104"/>
        <v>0</v>
      </c>
      <c r="DE33" s="153">
        <f t="shared" si="104"/>
        <v>0</v>
      </c>
      <c r="DF33" s="153">
        <f t="shared" si="104"/>
        <v>0</v>
      </c>
      <c r="DG33" s="153">
        <f t="shared" si="104"/>
        <v>0</v>
      </c>
      <c r="DH33" s="153">
        <f t="shared" si="104"/>
        <v>0</v>
      </c>
      <c r="DI33" s="153">
        <f t="shared" si="104"/>
        <v>0</v>
      </c>
      <c r="DJ33" s="153">
        <f t="shared" si="104"/>
        <v>0</v>
      </c>
      <c r="DK33" s="153">
        <f t="shared" si="104"/>
        <v>0</v>
      </c>
      <c r="DL33" s="153">
        <f t="shared" si="104"/>
        <v>0</v>
      </c>
      <c r="DM33" s="153">
        <f t="shared" si="104"/>
        <v>0</v>
      </c>
      <c r="DN33" s="153">
        <f t="shared" si="104"/>
        <v>0</v>
      </c>
      <c r="DO33" s="153">
        <f t="shared" si="104"/>
        <v>0</v>
      </c>
      <c r="DP33" s="153">
        <f t="shared" si="104"/>
        <v>0</v>
      </c>
      <c r="DQ33" s="153">
        <f t="shared" si="104"/>
        <v>0</v>
      </c>
      <c r="DR33" s="153">
        <f t="shared" si="104"/>
        <v>0</v>
      </c>
      <c r="DS33" s="153">
        <f t="shared" si="104"/>
        <v>0</v>
      </c>
      <c r="DT33" s="153">
        <f t="shared" si="104"/>
        <v>0</v>
      </c>
      <c r="DU33" s="153">
        <f t="shared" si="104"/>
        <v>0</v>
      </c>
      <c r="DV33" s="153">
        <f t="shared" si="104"/>
        <v>0</v>
      </c>
      <c r="DW33" s="153">
        <f t="shared" si="104"/>
        <v>0</v>
      </c>
      <c r="DX33" s="153">
        <f t="shared" si="104"/>
        <v>0</v>
      </c>
      <c r="DY33" s="153">
        <f t="shared" si="104"/>
        <v>0</v>
      </c>
      <c r="DZ33" s="153">
        <f t="shared" si="104"/>
        <v>0</v>
      </c>
      <c r="EA33" s="153">
        <f t="shared" si="104"/>
        <v>0</v>
      </c>
      <c r="EB33" s="153">
        <f t="shared" si="104"/>
        <v>0</v>
      </c>
      <c r="EC33" s="153">
        <f t="shared" si="104"/>
        <v>0</v>
      </c>
      <c r="ED33" s="153">
        <f t="shared" si="104"/>
        <v>0</v>
      </c>
      <c r="EE33" s="153">
        <f t="shared" si="104"/>
        <v>0</v>
      </c>
      <c r="EF33" s="153">
        <f t="shared" si="104"/>
        <v>0</v>
      </c>
      <c r="EG33" s="153">
        <f t="shared" si="104"/>
        <v>0</v>
      </c>
      <c r="EH33" s="153">
        <f t="shared" si="104"/>
        <v>0</v>
      </c>
      <c r="EI33" s="153">
        <f t="shared" si="104"/>
        <v>0</v>
      </c>
      <c r="EJ33" s="153">
        <f t="shared" si="104"/>
        <v>0</v>
      </c>
      <c r="EK33" s="153">
        <f t="shared" si="104"/>
        <v>0</v>
      </c>
      <c r="EL33" s="153">
        <f t="shared" si="104"/>
        <v>0</v>
      </c>
      <c r="EM33" s="153">
        <f t="shared" si="104"/>
        <v>0</v>
      </c>
      <c r="EN33" s="153">
        <f t="shared" si="104"/>
        <v>0</v>
      </c>
      <c r="EO33" s="153">
        <f t="shared" si="104"/>
        <v>0</v>
      </c>
      <c r="EP33" s="153">
        <f t="shared" si="104"/>
        <v>0</v>
      </c>
      <c r="EQ33" s="153">
        <f t="shared" si="104"/>
        <v>0</v>
      </c>
      <c r="ER33" s="153">
        <f t="shared" si="104"/>
        <v>0</v>
      </c>
      <c r="ES33" s="153">
        <f t="shared" si="104"/>
        <v>0</v>
      </c>
      <c r="ET33" s="153">
        <f t="shared" si="104"/>
        <v>0</v>
      </c>
      <c r="EU33" s="153">
        <f t="shared" ref="EU33:HF33" si="105">EU31+EU32</f>
        <v>0</v>
      </c>
      <c r="EV33" s="153">
        <f t="shared" si="105"/>
        <v>0</v>
      </c>
      <c r="EW33" s="153">
        <f t="shared" si="105"/>
        <v>0</v>
      </c>
      <c r="EX33" s="153">
        <f t="shared" si="105"/>
        <v>0</v>
      </c>
      <c r="EY33" s="153">
        <f t="shared" si="105"/>
        <v>0</v>
      </c>
      <c r="EZ33" s="153">
        <f t="shared" si="105"/>
        <v>0</v>
      </c>
      <c r="FA33" s="153">
        <f t="shared" si="105"/>
        <v>0</v>
      </c>
      <c r="FB33" s="153">
        <f t="shared" si="105"/>
        <v>0</v>
      </c>
      <c r="FC33" s="153">
        <f t="shared" si="105"/>
        <v>0</v>
      </c>
      <c r="FD33" s="153">
        <f t="shared" si="105"/>
        <v>0</v>
      </c>
      <c r="FE33" s="153">
        <f t="shared" si="105"/>
        <v>0</v>
      </c>
      <c r="FF33" s="153">
        <f t="shared" si="105"/>
        <v>0</v>
      </c>
      <c r="FG33" s="153">
        <f t="shared" si="105"/>
        <v>0</v>
      </c>
      <c r="FH33" s="153">
        <f t="shared" si="105"/>
        <v>0</v>
      </c>
      <c r="FI33" s="153">
        <f t="shared" si="105"/>
        <v>0</v>
      </c>
      <c r="FJ33" s="153">
        <f t="shared" si="105"/>
        <v>0</v>
      </c>
      <c r="FK33" s="153">
        <f t="shared" si="105"/>
        <v>0</v>
      </c>
      <c r="FL33" s="153">
        <f t="shared" si="105"/>
        <v>0</v>
      </c>
      <c r="FM33" s="153">
        <f t="shared" si="105"/>
        <v>0</v>
      </c>
      <c r="FN33" s="153">
        <f t="shared" si="105"/>
        <v>0</v>
      </c>
      <c r="FO33" s="153">
        <f t="shared" si="105"/>
        <v>0</v>
      </c>
      <c r="FP33" s="153">
        <f t="shared" si="105"/>
        <v>0</v>
      </c>
      <c r="FQ33" s="153">
        <f t="shared" si="105"/>
        <v>0</v>
      </c>
      <c r="FR33" s="153">
        <f t="shared" si="105"/>
        <v>0</v>
      </c>
      <c r="FS33" s="153">
        <f t="shared" si="105"/>
        <v>0</v>
      </c>
      <c r="FT33" s="153">
        <f t="shared" si="105"/>
        <v>0</v>
      </c>
      <c r="FU33" s="153">
        <f t="shared" si="105"/>
        <v>0</v>
      </c>
      <c r="FV33" s="153">
        <f t="shared" si="105"/>
        <v>0</v>
      </c>
      <c r="FW33" s="153">
        <f t="shared" si="105"/>
        <v>0</v>
      </c>
      <c r="FX33" s="153">
        <f t="shared" si="105"/>
        <v>0</v>
      </c>
      <c r="FY33" s="153">
        <f t="shared" si="105"/>
        <v>0</v>
      </c>
      <c r="FZ33" s="153">
        <f t="shared" si="105"/>
        <v>0</v>
      </c>
      <c r="GA33" s="153">
        <f t="shared" si="105"/>
        <v>0</v>
      </c>
      <c r="GB33" s="153">
        <f t="shared" si="105"/>
        <v>0</v>
      </c>
      <c r="GC33" s="153">
        <f t="shared" si="105"/>
        <v>0</v>
      </c>
      <c r="GD33" s="153">
        <f t="shared" si="105"/>
        <v>0</v>
      </c>
      <c r="GE33" s="153">
        <f t="shared" si="105"/>
        <v>0</v>
      </c>
      <c r="GF33" s="153">
        <f t="shared" si="105"/>
        <v>0</v>
      </c>
      <c r="GG33" s="153">
        <f t="shared" si="105"/>
        <v>0</v>
      </c>
      <c r="GH33" s="153">
        <f t="shared" si="105"/>
        <v>0</v>
      </c>
      <c r="GI33" s="153">
        <f t="shared" si="105"/>
        <v>0</v>
      </c>
      <c r="GJ33" s="153">
        <f t="shared" si="105"/>
        <v>0</v>
      </c>
      <c r="GK33" s="153">
        <f t="shared" si="105"/>
        <v>0</v>
      </c>
      <c r="GL33" s="153">
        <f t="shared" si="105"/>
        <v>0</v>
      </c>
      <c r="GM33" s="153">
        <f t="shared" si="105"/>
        <v>0</v>
      </c>
      <c r="GN33" s="153">
        <f t="shared" si="105"/>
        <v>0</v>
      </c>
      <c r="GO33" s="153">
        <f t="shared" si="105"/>
        <v>0</v>
      </c>
      <c r="GP33" s="153">
        <f t="shared" si="105"/>
        <v>0</v>
      </c>
      <c r="GQ33" s="153">
        <f t="shared" si="105"/>
        <v>0</v>
      </c>
      <c r="GR33" s="153">
        <f t="shared" si="105"/>
        <v>0</v>
      </c>
      <c r="GS33" s="153">
        <f t="shared" si="105"/>
        <v>0</v>
      </c>
      <c r="GT33" s="153">
        <f t="shared" si="105"/>
        <v>0</v>
      </c>
      <c r="GU33" s="153">
        <f t="shared" si="105"/>
        <v>0</v>
      </c>
      <c r="GV33" s="153">
        <f t="shared" si="105"/>
        <v>0</v>
      </c>
      <c r="GW33" s="153">
        <f t="shared" si="105"/>
        <v>0</v>
      </c>
      <c r="GX33" s="153">
        <f t="shared" si="105"/>
        <v>0</v>
      </c>
      <c r="GY33" s="153">
        <f t="shared" si="105"/>
        <v>0</v>
      </c>
      <c r="GZ33" s="153">
        <f t="shared" si="105"/>
        <v>0</v>
      </c>
      <c r="HA33" s="153">
        <f t="shared" si="105"/>
        <v>0</v>
      </c>
      <c r="HB33" s="153">
        <f t="shared" si="105"/>
        <v>0</v>
      </c>
      <c r="HC33" s="153">
        <f t="shared" si="105"/>
        <v>0</v>
      </c>
      <c r="HD33" s="153">
        <f t="shared" si="105"/>
        <v>0</v>
      </c>
      <c r="HE33" s="153">
        <f t="shared" si="105"/>
        <v>0</v>
      </c>
      <c r="HF33" s="153">
        <f t="shared" si="105"/>
        <v>0</v>
      </c>
      <c r="HG33" s="153">
        <f t="shared" ref="HG33:IB33" si="106">HG31+HG32</f>
        <v>0</v>
      </c>
      <c r="HH33" s="153">
        <f t="shared" si="106"/>
        <v>0</v>
      </c>
      <c r="HI33" s="153">
        <f t="shared" si="106"/>
        <v>0</v>
      </c>
      <c r="HJ33" s="153">
        <f t="shared" si="106"/>
        <v>0</v>
      </c>
      <c r="HK33" s="153">
        <f t="shared" si="106"/>
        <v>0</v>
      </c>
      <c r="HL33" s="153">
        <f t="shared" si="106"/>
        <v>0</v>
      </c>
      <c r="HM33" s="153">
        <f t="shared" si="106"/>
        <v>0</v>
      </c>
      <c r="HN33" s="153">
        <f t="shared" si="106"/>
        <v>0</v>
      </c>
      <c r="HO33" s="153">
        <f t="shared" si="106"/>
        <v>0</v>
      </c>
      <c r="HP33" s="153">
        <f t="shared" si="106"/>
        <v>0</v>
      </c>
      <c r="HQ33" s="153">
        <f t="shared" si="106"/>
        <v>0</v>
      </c>
      <c r="HR33" s="153">
        <f t="shared" si="106"/>
        <v>0</v>
      </c>
      <c r="HS33" s="153">
        <f t="shared" si="106"/>
        <v>0</v>
      </c>
      <c r="HT33" s="153">
        <f t="shared" si="106"/>
        <v>0</v>
      </c>
      <c r="HU33" s="153">
        <f t="shared" si="106"/>
        <v>0</v>
      </c>
      <c r="HV33" s="153">
        <f t="shared" si="106"/>
        <v>0</v>
      </c>
      <c r="HW33" s="153">
        <f t="shared" si="106"/>
        <v>0</v>
      </c>
      <c r="HX33" s="153">
        <f t="shared" si="106"/>
        <v>0</v>
      </c>
      <c r="HY33" s="153">
        <f t="shared" si="106"/>
        <v>0</v>
      </c>
      <c r="HZ33" s="153">
        <f t="shared" si="106"/>
        <v>0</v>
      </c>
      <c r="IA33" s="153">
        <f t="shared" si="106"/>
        <v>0</v>
      </c>
      <c r="IB33" s="153">
        <f t="shared" si="106"/>
        <v>0</v>
      </c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</row>
    <row r="34" spans="1:251" ht="18" customHeight="1" thickBot="1" x14ac:dyDescent="0.35">
      <c r="D34" s="173" t="s">
        <v>64</v>
      </c>
      <c r="E34" s="174"/>
      <c r="F34" s="175"/>
      <c r="H34" s="25"/>
      <c r="I34" s="167" t="s">
        <v>65</v>
      </c>
      <c r="J34" s="168">
        <f>SUMIFS($U$22:$IB$22,$U$7:$IB$7,"&gt;="&amp;$U$7,$U$7:$IB$7,"&lt;="&amp;J$17)/Units</f>
        <v>0</v>
      </c>
      <c r="K34" s="168">
        <f t="shared" ref="K34:P34" si="107">SUMIFS($U$22:$IB$22,$U$7:$IB$7,"&gt;"&amp;J$17,$U$7:$IB$7,"&lt;="&amp;K$17)/Units</f>
        <v>0</v>
      </c>
      <c r="L34" s="168">
        <f t="shared" si="107"/>
        <v>-7.5242140875251522</v>
      </c>
      <c r="M34" s="168">
        <f t="shared" si="107"/>
        <v>-20.259674673548631</v>
      </c>
      <c r="N34" s="168">
        <f t="shared" si="107"/>
        <v>-12.917285872429799</v>
      </c>
      <c r="O34" s="168">
        <f t="shared" si="107"/>
        <v>0</v>
      </c>
      <c r="P34" s="168">
        <f t="shared" si="107"/>
        <v>0</v>
      </c>
      <c r="Q34" s="169">
        <f t="shared" si="102"/>
        <v>-40.701174633503584</v>
      </c>
      <c r="R34" s="25"/>
      <c r="S34" s="1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  <c r="FS34" s="34"/>
      <c r="FT34" s="34"/>
      <c r="FU34" s="34"/>
      <c r="FV34" s="34"/>
      <c r="FW34" s="34"/>
      <c r="FX34" s="34"/>
      <c r="FY34" s="34"/>
      <c r="FZ34" s="34"/>
      <c r="GA34" s="34"/>
      <c r="GB34" s="34"/>
      <c r="GC34" s="34"/>
      <c r="GD34" s="34"/>
      <c r="GE34" s="34"/>
      <c r="GF34" s="34"/>
      <c r="GG34" s="34"/>
      <c r="GH34" s="34"/>
      <c r="GI34" s="34"/>
      <c r="GJ34" s="34"/>
      <c r="GK34" s="34"/>
      <c r="GL34" s="34"/>
      <c r="GM34" s="34"/>
      <c r="GN34" s="34"/>
      <c r="GO34" s="34"/>
      <c r="GP34" s="34"/>
      <c r="GQ34" s="34"/>
      <c r="GR34" s="34"/>
      <c r="GS34" s="34"/>
      <c r="GT34" s="34"/>
      <c r="GU34" s="34"/>
      <c r="GV34" s="34"/>
      <c r="GW34" s="34"/>
      <c r="GX34" s="34"/>
      <c r="GY34" s="34"/>
      <c r="GZ34" s="34"/>
      <c r="HA34" s="34"/>
      <c r="HB34" s="34"/>
      <c r="HC34" s="34"/>
      <c r="HD34" s="34"/>
      <c r="HE34" s="34"/>
      <c r="HF34" s="34"/>
      <c r="HG34" s="34"/>
      <c r="HH34" s="34"/>
      <c r="HI34" s="34"/>
      <c r="HJ34" s="34"/>
      <c r="HK34" s="34"/>
      <c r="HL34" s="34"/>
      <c r="HM34" s="34"/>
      <c r="HN34" s="34"/>
      <c r="HO34" s="34"/>
      <c r="HP34" s="34"/>
      <c r="HQ34" s="34"/>
      <c r="HR34" s="34"/>
      <c r="HS34" s="34"/>
      <c r="HT34" s="34"/>
      <c r="HU34" s="34"/>
      <c r="HV34" s="34"/>
      <c r="HW34" s="34"/>
      <c r="HX34" s="34"/>
      <c r="HY34" s="34"/>
      <c r="HZ34" s="34"/>
      <c r="IA34" s="34"/>
      <c r="IB34" s="34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</row>
    <row r="35" spans="1:251" ht="18" customHeight="1" thickTop="1" thickBot="1" x14ac:dyDescent="0.35">
      <c r="D35" s="176" t="s">
        <v>66</v>
      </c>
      <c r="E35" s="177"/>
      <c r="F35" s="178"/>
      <c r="H35" s="25"/>
      <c r="I35" s="25"/>
      <c r="J35" s="25"/>
      <c r="K35" s="25"/>
      <c r="L35" s="25"/>
      <c r="M35" s="25"/>
      <c r="N35" s="25"/>
      <c r="O35" s="25"/>
      <c r="P35" s="25"/>
      <c r="Q35" s="132"/>
      <c r="R35" s="25"/>
      <c r="S35" s="1"/>
      <c r="T35" s="143" t="s">
        <v>67</v>
      </c>
      <c r="U35" s="144">
        <f>-E14</f>
        <v>-102430077.03</v>
      </c>
      <c r="V35" s="145">
        <f>-SUM(V15,V16,V22,V32)</f>
        <v>-5443239.1031658715</v>
      </c>
      <c r="W35" s="145">
        <f t="shared" ref="W35:CH35" si="108">-SUM(W15,W16,W22,W32)</f>
        <v>-5400048.5765044186</v>
      </c>
      <c r="X35" s="145">
        <f t="shared" si="108"/>
        <v>-5356657.8619250134</v>
      </c>
      <c r="Y35" s="145">
        <f t="shared" si="108"/>
        <v>-5313065.9293240923</v>
      </c>
      <c r="Z35" s="145">
        <f t="shared" si="108"/>
        <v>-5269271.7432975033</v>
      </c>
      <c r="AA35" s="145">
        <f t="shared" si="108"/>
        <v>-5225274.2631132361</v>
      </c>
      <c r="AB35" s="145">
        <f t="shared" si="108"/>
        <v>-5181072.4426840022</v>
      </c>
      <c r="AC35" s="145">
        <f t="shared" si="108"/>
        <v>-5136665.2305396777</v>
      </c>
      <c r="AD35" s="145">
        <f t="shared" si="108"/>
        <v>-5092051.5697996076</v>
      </c>
      <c r="AE35" s="145">
        <f t="shared" si="108"/>
        <v>-5047230.3981447658</v>
      </c>
      <c r="AF35" s="145">
        <f t="shared" si="108"/>
        <v>-5002200.6477897679</v>
      </c>
      <c r="AG35" s="145">
        <f t="shared" si="108"/>
        <v>-4956961.2454547435</v>
      </c>
      <c r="AH35" s="145">
        <f t="shared" si="108"/>
        <v>-4911511.1123370621</v>
      </c>
      <c r="AI35" s="145">
        <f t="shared" si="108"/>
        <v>-4865849.1640829211</v>
      </c>
      <c r="AJ35" s="145">
        <f t="shared" si="108"/>
        <v>-4819974.3107587844</v>
      </c>
      <c r="AK35" s="145">
        <f t="shared" si="108"/>
        <v>-4773885.4568226505</v>
      </c>
      <c r="AL35" s="145">
        <f t="shared" si="108"/>
        <v>-4727581.5010951981</v>
      </c>
      <c r="AM35" s="145">
        <f t="shared" si="108"/>
        <v>-4681061.3367307996</v>
      </c>
      <c r="AN35" s="145">
        <f t="shared" si="108"/>
        <v>1480671.8693671708</v>
      </c>
      <c r="AO35" s="145">
        <f t="shared" si="108"/>
        <v>1487524.4481519077</v>
      </c>
      <c r="AP35" s="145">
        <f t="shared" si="108"/>
        <v>1494412.2881347334</v>
      </c>
      <c r="AQ35" s="145">
        <f t="shared" si="108"/>
        <v>1501335.5707585954</v>
      </c>
      <c r="AR35" s="145">
        <f t="shared" si="108"/>
        <v>1508294.4784000884</v>
      </c>
      <c r="AS35" s="145">
        <f t="shared" si="108"/>
        <v>1515289.1943742603</v>
      </c>
      <c r="AT35" s="145">
        <f t="shared" si="108"/>
        <v>1522319.9029394388</v>
      </c>
      <c r="AU35" s="145">
        <f t="shared" si="108"/>
        <v>1529386.7893020874</v>
      </c>
      <c r="AV35" s="145">
        <f t="shared" si="108"/>
        <v>1536490.0396216835</v>
      </c>
      <c r="AW35" s="145">
        <f t="shared" si="108"/>
        <v>1543629.8410156213</v>
      </c>
      <c r="AX35" s="145">
        <f t="shared" si="108"/>
        <v>1550806.3815641426</v>
      </c>
      <c r="AY35" s="145">
        <f t="shared" si="108"/>
        <v>1558019.8503152903</v>
      </c>
      <c r="AZ35" s="145">
        <f t="shared" si="108"/>
        <v>11556318.972292947</v>
      </c>
      <c r="BA35" s="145">
        <f t="shared" si="108"/>
        <v>11544624.581424627</v>
      </c>
      <c r="BB35" s="145">
        <f t="shared" si="108"/>
        <v>11532596.727089258</v>
      </c>
      <c r="BC35" s="145">
        <f t="shared" si="108"/>
        <v>11520232.122799015</v>
      </c>
      <c r="BD35" s="145">
        <f t="shared" si="108"/>
        <v>11507527.457073089</v>
      </c>
      <c r="BE35" s="145">
        <f t="shared" si="108"/>
        <v>11494479.393267496</v>
      </c>
      <c r="BF35" s="145">
        <f t="shared" si="108"/>
        <v>11481084.569403786</v>
      </c>
      <c r="BG35" s="145">
        <f t="shared" si="108"/>
        <v>11467339.597996682</v>
      </c>
      <c r="BH35" s="145">
        <f t="shared" si="108"/>
        <v>11453241.065880574</v>
      </c>
      <c r="BI35" s="145">
        <f t="shared" si="108"/>
        <v>11438785.534034947</v>
      </c>
      <c r="BJ35" s="145">
        <f t="shared" si="108"/>
        <v>11423969.537408674</v>
      </c>
      <c r="BK35" s="145">
        <f t="shared" si="108"/>
        <v>11408789.584743164</v>
      </c>
      <c r="BL35" s="145">
        <f t="shared" si="108"/>
        <v>11393242.158394419</v>
      </c>
      <c r="BM35" s="145">
        <f t="shared" si="108"/>
        <v>11377323.714153927</v>
      </c>
      <c r="BN35" s="145">
        <f t="shared" si="108"/>
        <v>11361030.681068417</v>
      </c>
      <c r="BO35" s="145">
        <f t="shared" si="108"/>
        <v>11344359.461258456</v>
      </c>
      <c r="BP35" s="145">
        <f t="shared" si="108"/>
        <v>11327306.429735908</v>
      </c>
      <c r="BQ35" s="145">
        <f t="shared" si="108"/>
        <v>11309867.934220206</v>
      </c>
      <c r="BR35" s="145">
        <f t="shared" si="108"/>
        <v>11292040.294953449</v>
      </c>
      <c r="BS35" s="145">
        <f t="shared" si="108"/>
        <v>11273819.804514347</v>
      </c>
      <c r="BT35" s="145">
        <f t="shared" si="108"/>
        <v>11255202.727630945</v>
      </c>
      <c r="BU35" s="145">
        <f t="shared" si="108"/>
        <v>11236185.30099217</v>
      </c>
      <c r="BV35" s="145">
        <f t="shared" si="108"/>
        <v>11216763.733058181</v>
      </c>
      <c r="BW35" s="145">
        <f t="shared" si="108"/>
        <v>11196934.203869488</v>
      </c>
      <c r="BX35" s="145">
        <f t="shared" si="108"/>
        <v>0</v>
      </c>
      <c r="BY35" s="145">
        <f t="shared" si="108"/>
        <v>0</v>
      </c>
      <c r="BZ35" s="145">
        <f t="shared" si="108"/>
        <v>0</v>
      </c>
      <c r="CA35" s="145">
        <f t="shared" si="108"/>
        <v>0</v>
      </c>
      <c r="CB35" s="145">
        <f t="shared" si="108"/>
        <v>0</v>
      </c>
      <c r="CC35" s="145">
        <f t="shared" si="108"/>
        <v>0</v>
      </c>
      <c r="CD35" s="145">
        <f t="shared" si="108"/>
        <v>0</v>
      </c>
      <c r="CE35" s="145">
        <f t="shared" si="108"/>
        <v>0</v>
      </c>
      <c r="CF35" s="145">
        <f t="shared" si="108"/>
        <v>0</v>
      </c>
      <c r="CG35" s="145">
        <f t="shared" si="108"/>
        <v>0</v>
      </c>
      <c r="CH35" s="145">
        <f t="shared" si="108"/>
        <v>0</v>
      </c>
      <c r="CI35" s="145">
        <f t="shared" ref="CI35:ET35" si="109">-SUM(CI15,CI16,CI22,CI32)</f>
        <v>0</v>
      </c>
      <c r="CJ35" s="145">
        <f t="shared" si="109"/>
        <v>0</v>
      </c>
      <c r="CK35" s="145">
        <f t="shared" si="109"/>
        <v>0</v>
      </c>
      <c r="CL35" s="145">
        <f t="shared" si="109"/>
        <v>0</v>
      </c>
      <c r="CM35" s="145">
        <f t="shared" si="109"/>
        <v>0</v>
      </c>
      <c r="CN35" s="145">
        <f t="shared" si="109"/>
        <v>0</v>
      </c>
      <c r="CO35" s="145">
        <f t="shared" si="109"/>
        <v>0</v>
      </c>
      <c r="CP35" s="145">
        <f t="shared" si="109"/>
        <v>0</v>
      </c>
      <c r="CQ35" s="145">
        <f t="shared" si="109"/>
        <v>0</v>
      </c>
      <c r="CR35" s="145">
        <f t="shared" si="109"/>
        <v>0</v>
      </c>
      <c r="CS35" s="145">
        <f t="shared" si="109"/>
        <v>0</v>
      </c>
      <c r="CT35" s="145">
        <f t="shared" si="109"/>
        <v>0</v>
      </c>
      <c r="CU35" s="145">
        <f t="shared" si="109"/>
        <v>0</v>
      </c>
      <c r="CV35" s="145">
        <f t="shared" si="109"/>
        <v>0</v>
      </c>
      <c r="CW35" s="145">
        <f t="shared" si="109"/>
        <v>0</v>
      </c>
      <c r="CX35" s="145">
        <f t="shared" si="109"/>
        <v>0</v>
      </c>
      <c r="CY35" s="145">
        <f t="shared" si="109"/>
        <v>0</v>
      </c>
      <c r="CZ35" s="145">
        <f t="shared" si="109"/>
        <v>0</v>
      </c>
      <c r="DA35" s="145">
        <f t="shared" si="109"/>
        <v>0</v>
      </c>
      <c r="DB35" s="145">
        <f t="shared" si="109"/>
        <v>0</v>
      </c>
      <c r="DC35" s="145">
        <f t="shared" si="109"/>
        <v>0</v>
      </c>
      <c r="DD35" s="145">
        <f t="shared" si="109"/>
        <v>0</v>
      </c>
      <c r="DE35" s="145">
        <f t="shared" si="109"/>
        <v>0</v>
      </c>
      <c r="DF35" s="145">
        <f t="shared" si="109"/>
        <v>0</v>
      </c>
      <c r="DG35" s="145">
        <f t="shared" si="109"/>
        <v>0</v>
      </c>
      <c r="DH35" s="145">
        <f t="shared" si="109"/>
        <v>0</v>
      </c>
      <c r="DI35" s="145">
        <f t="shared" si="109"/>
        <v>0</v>
      </c>
      <c r="DJ35" s="145">
        <f t="shared" si="109"/>
        <v>0</v>
      </c>
      <c r="DK35" s="145">
        <f t="shared" si="109"/>
        <v>0</v>
      </c>
      <c r="DL35" s="145">
        <f t="shared" si="109"/>
        <v>0</v>
      </c>
      <c r="DM35" s="145">
        <f t="shared" si="109"/>
        <v>0</v>
      </c>
      <c r="DN35" s="145">
        <f t="shared" si="109"/>
        <v>0</v>
      </c>
      <c r="DO35" s="145">
        <f t="shared" si="109"/>
        <v>0</v>
      </c>
      <c r="DP35" s="145">
        <f t="shared" si="109"/>
        <v>0</v>
      </c>
      <c r="DQ35" s="145">
        <f t="shared" si="109"/>
        <v>0</v>
      </c>
      <c r="DR35" s="145">
        <f t="shared" si="109"/>
        <v>0</v>
      </c>
      <c r="DS35" s="145">
        <f t="shared" si="109"/>
        <v>0</v>
      </c>
      <c r="DT35" s="145">
        <f t="shared" si="109"/>
        <v>0</v>
      </c>
      <c r="DU35" s="145">
        <f t="shared" si="109"/>
        <v>0</v>
      </c>
      <c r="DV35" s="145">
        <f t="shared" si="109"/>
        <v>0</v>
      </c>
      <c r="DW35" s="145">
        <f t="shared" si="109"/>
        <v>0</v>
      </c>
      <c r="DX35" s="145">
        <f t="shared" si="109"/>
        <v>0</v>
      </c>
      <c r="DY35" s="145">
        <f t="shared" si="109"/>
        <v>0</v>
      </c>
      <c r="DZ35" s="145">
        <f t="shared" si="109"/>
        <v>0</v>
      </c>
      <c r="EA35" s="145">
        <f t="shared" si="109"/>
        <v>0</v>
      </c>
      <c r="EB35" s="145">
        <f t="shared" si="109"/>
        <v>0</v>
      </c>
      <c r="EC35" s="145">
        <f t="shared" si="109"/>
        <v>0</v>
      </c>
      <c r="ED35" s="145">
        <f t="shared" si="109"/>
        <v>0</v>
      </c>
      <c r="EE35" s="145">
        <f t="shared" si="109"/>
        <v>0</v>
      </c>
      <c r="EF35" s="145">
        <f t="shared" si="109"/>
        <v>0</v>
      </c>
      <c r="EG35" s="145">
        <f t="shared" si="109"/>
        <v>0</v>
      </c>
      <c r="EH35" s="145">
        <f t="shared" si="109"/>
        <v>0</v>
      </c>
      <c r="EI35" s="145">
        <f t="shared" si="109"/>
        <v>0</v>
      </c>
      <c r="EJ35" s="145">
        <f t="shared" si="109"/>
        <v>0</v>
      </c>
      <c r="EK35" s="145">
        <f t="shared" si="109"/>
        <v>0</v>
      </c>
      <c r="EL35" s="145">
        <f t="shared" si="109"/>
        <v>0</v>
      </c>
      <c r="EM35" s="145">
        <f t="shared" si="109"/>
        <v>0</v>
      </c>
      <c r="EN35" s="145">
        <f t="shared" si="109"/>
        <v>0</v>
      </c>
      <c r="EO35" s="145">
        <f t="shared" si="109"/>
        <v>0</v>
      </c>
      <c r="EP35" s="145">
        <f t="shared" si="109"/>
        <v>0</v>
      </c>
      <c r="EQ35" s="145">
        <f t="shared" si="109"/>
        <v>0</v>
      </c>
      <c r="ER35" s="145">
        <f t="shared" si="109"/>
        <v>0</v>
      </c>
      <c r="ES35" s="145">
        <f t="shared" si="109"/>
        <v>0</v>
      </c>
      <c r="ET35" s="145">
        <f t="shared" si="109"/>
        <v>0</v>
      </c>
      <c r="EU35" s="145">
        <f t="shared" ref="EU35:HF35" si="110">-SUM(EU15,EU16,EU22,EU32)</f>
        <v>0</v>
      </c>
      <c r="EV35" s="145">
        <f t="shared" si="110"/>
        <v>0</v>
      </c>
      <c r="EW35" s="145">
        <f t="shared" si="110"/>
        <v>0</v>
      </c>
      <c r="EX35" s="145">
        <f t="shared" si="110"/>
        <v>0</v>
      </c>
      <c r="EY35" s="145">
        <f t="shared" si="110"/>
        <v>0</v>
      </c>
      <c r="EZ35" s="145">
        <f t="shared" si="110"/>
        <v>0</v>
      </c>
      <c r="FA35" s="145">
        <f t="shared" si="110"/>
        <v>0</v>
      </c>
      <c r="FB35" s="145">
        <f t="shared" si="110"/>
        <v>0</v>
      </c>
      <c r="FC35" s="145">
        <f t="shared" si="110"/>
        <v>0</v>
      </c>
      <c r="FD35" s="145">
        <f t="shared" si="110"/>
        <v>0</v>
      </c>
      <c r="FE35" s="145">
        <f t="shared" si="110"/>
        <v>0</v>
      </c>
      <c r="FF35" s="145">
        <f t="shared" si="110"/>
        <v>0</v>
      </c>
      <c r="FG35" s="145">
        <f t="shared" si="110"/>
        <v>0</v>
      </c>
      <c r="FH35" s="145">
        <f t="shared" si="110"/>
        <v>0</v>
      </c>
      <c r="FI35" s="145">
        <f t="shared" si="110"/>
        <v>0</v>
      </c>
      <c r="FJ35" s="145">
        <f t="shared" si="110"/>
        <v>0</v>
      </c>
      <c r="FK35" s="145">
        <f t="shared" si="110"/>
        <v>0</v>
      </c>
      <c r="FL35" s="145">
        <f t="shared" si="110"/>
        <v>0</v>
      </c>
      <c r="FM35" s="145">
        <f t="shared" si="110"/>
        <v>0</v>
      </c>
      <c r="FN35" s="145">
        <f t="shared" si="110"/>
        <v>0</v>
      </c>
      <c r="FO35" s="145">
        <f t="shared" si="110"/>
        <v>0</v>
      </c>
      <c r="FP35" s="145">
        <f t="shared" si="110"/>
        <v>0</v>
      </c>
      <c r="FQ35" s="145">
        <f t="shared" si="110"/>
        <v>0</v>
      </c>
      <c r="FR35" s="145">
        <f t="shared" si="110"/>
        <v>0</v>
      </c>
      <c r="FS35" s="145">
        <f t="shared" si="110"/>
        <v>0</v>
      </c>
      <c r="FT35" s="145">
        <f t="shared" si="110"/>
        <v>0</v>
      </c>
      <c r="FU35" s="145">
        <f t="shared" si="110"/>
        <v>0</v>
      </c>
      <c r="FV35" s="145">
        <f t="shared" si="110"/>
        <v>0</v>
      </c>
      <c r="FW35" s="145">
        <f t="shared" si="110"/>
        <v>0</v>
      </c>
      <c r="FX35" s="145">
        <f t="shared" si="110"/>
        <v>0</v>
      </c>
      <c r="FY35" s="145">
        <f t="shared" si="110"/>
        <v>0</v>
      </c>
      <c r="FZ35" s="145">
        <f t="shared" si="110"/>
        <v>0</v>
      </c>
      <c r="GA35" s="145">
        <f t="shared" si="110"/>
        <v>0</v>
      </c>
      <c r="GB35" s="145">
        <f t="shared" si="110"/>
        <v>0</v>
      </c>
      <c r="GC35" s="145">
        <f t="shared" si="110"/>
        <v>0</v>
      </c>
      <c r="GD35" s="145">
        <f t="shared" si="110"/>
        <v>0</v>
      </c>
      <c r="GE35" s="145">
        <f t="shared" si="110"/>
        <v>0</v>
      </c>
      <c r="GF35" s="145">
        <f t="shared" si="110"/>
        <v>0</v>
      </c>
      <c r="GG35" s="145">
        <f t="shared" si="110"/>
        <v>0</v>
      </c>
      <c r="GH35" s="145">
        <f t="shared" si="110"/>
        <v>0</v>
      </c>
      <c r="GI35" s="145">
        <f t="shared" si="110"/>
        <v>0</v>
      </c>
      <c r="GJ35" s="145">
        <f t="shared" si="110"/>
        <v>0</v>
      </c>
      <c r="GK35" s="145">
        <f t="shared" si="110"/>
        <v>0</v>
      </c>
      <c r="GL35" s="145">
        <f t="shared" si="110"/>
        <v>0</v>
      </c>
      <c r="GM35" s="145">
        <f t="shared" si="110"/>
        <v>0</v>
      </c>
      <c r="GN35" s="145">
        <f t="shared" si="110"/>
        <v>0</v>
      </c>
      <c r="GO35" s="145">
        <f t="shared" si="110"/>
        <v>0</v>
      </c>
      <c r="GP35" s="145">
        <f t="shared" si="110"/>
        <v>0</v>
      </c>
      <c r="GQ35" s="145">
        <f t="shared" si="110"/>
        <v>0</v>
      </c>
      <c r="GR35" s="145">
        <f t="shared" si="110"/>
        <v>0</v>
      </c>
      <c r="GS35" s="145">
        <f t="shared" si="110"/>
        <v>0</v>
      </c>
      <c r="GT35" s="145">
        <f t="shared" si="110"/>
        <v>0</v>
      </c>
      <c r="GU35" s="145">
        <f t="shared" si="110"/>
        <v>0</v>
      </c>
      <c r="GV35" s="145">
        <f t="shared" si="110"/>
        <v>0</v>
      </c>
      <c r="GW35" s="145">
        <f t="shared" si="110"/>
        <v>0</v>
      </c>
      <c r="GX35" s="145">
        <f t="shared" si="110"/>
        <v>0</v>
      </c>
      <c r="GY35" s="145">
        <f t="shared" si="110"/>
        <v>0</v>
      </c>
      <c r="GZ35" s="145">
        <f t="shared" si="110"/>
        <v>0</v>
      </c>
      <c r="HA35" s="145">
        <f t="shared" si="110"/>
        <v>0</v>
      </c>
      <c r="HB35" s="145">
        <f t="shared" si="110"/>
        <v>0</v>
      </c>
      <c r="HC35" s="145">
        <f t="shared" si="110"/>
        <v>0</v>
      </c>
      <c r="HD35" s="145">
        <f t="shared" si="110"/>
        <v>0</v>
      </c>
      <c r="HE35" s="145">
        <f t="shared" si="110"/>
        <v>0</v>
      </c>
      <c r="HF35" s="145">
        <f t="shared" si="110"/>
        <v>0</v>
      </c>
      <c r="HG35" s="145">
        <f t="shared" ref="HG35:IB35" si="111">-SUM(HG15,HG16,HG22,HG32)</f>
        <v>0</v>
      </c>
      <c r="HH35" s="145">
        <f t="shared" si="111"/>
        <v>0</v>
      </c>
      <c r="HI35" s="145">
        <f t="shared" si="111"/>
        <v>0</v>
      </c>
      <c r="HJ35" s="145">
        <f t="shared" si="111"/>
        <v>0</v>
      </c>
      <c r="HK35" s="145">
        <f t="shared" si="111"/>
        <v>0</v>
      </c>
      <c r="HL35" s="145">
        <f t="shared" si="111"/>
        <v>0</v>
      </c>
      <c r="HM35" s="145">
        <f t="shared" si="111"/>
        <v>0</v>
      </c>
      <c r="HN35" s="145">
        <f t="shared" si="111"/>
        <v>0</v>
      </c>
      <c r="HO35" s="145">
        <f t="shared" si="111"/>
        <v>0</v>
      </c>
      <c r="HP35" s="145">
        <f t="shared" si="111"/>
        <v>0</v>
      </c>
      <c r="HQ35" s="145">
        <f t="shared" si="111"/>
        <v>0</v>
      </c>
      <c r="HR35" s="145">
        <f t="shared" si="111"/>
        <v>0</v>
      </c>
      <c r="HS35" s="145">
        <f t="shared" si="111"/>
        <v>0</v>
      </c>
      <c r="HT35" s="145">
        <f t="shared" si="111"/>
        <v>0</v>
      </c>
      <c r="HU35" s="145">
        <f t="shared" si="111"/>
        <v>0</v>
      </c>
      <c r="HV35" s="145">
        <f t="shared" si="111"/>
        <v>0</v>
      </c>
      <c r="HW35" s="145">
        <f t="shared" si="111"/>
        <v>0</v>
      </c>
      <c r="HX35" s="145">
        <f t="shared" si="111"/>
        <v>0</v>
      </c>
      <c r="HY35" s="145">
        <f t="shared" si="111"/>
        <v>0</v>
      </c>
      <c r="HZ35" s="145">
        <f t="shared" si="111"/>
        <v>0</v>
      </c>
      <c r="IA35" s="145">
        <f t="shared" si="111"/>
        <v>0</v>
      </c>
      <c r="IB35" s="145">
        <f t="shared" si="111"/>
        <v>0</v>
      </c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</row>
    <row r="36" spans="1:251" ht="18" customHeight="1" x14ac:dyDescent="0.3">
      <c r="D36" s="176" t="s">
        <v>68</v>
      </c>
      <c r="E36" s="177"/>
      <c r="F36" s="178"/>
      <c r="H36" s="25"/>
      <c r="I36" s="140" t="str">
        <f t="shared" ref="I36:P36" si="112">I27</f>
        <v>Net Income</v>
      </c>
      <c r="J36" s="99">
        <f t="shared" si="112"/>
        <v>18.654642130586335</v>
      </c>
      <c r="K36" s="99">
        <f t="shared" si="112"/>
        <v>28.823968778481778</v>
      </c>
      <c r="L36" s="99">
        <f t="shared" si="112"/>
        <v>30.34256132823073</v>
      </c>
      <c r="M36" s="99">
        <f t="shared" si="112"/>
        <v>17.60945933205327</v>
      </c>
      <c r="N36" s="99">
        <f t="shared" si="112"/>
        <v>2.5769357482868784</v>
      </c>
      <c r="O36" s="99">
        <f t="shared" si="112"/>
        <v>0</v>
      </c>
      <c r="P36" s="99">
        <f t="shared" si="112"/>
        <v>0</v>
      </c>
      <c r="Q36" s="179">
        <f>SUM(J36:P36)</f>
        <v>98.007567317638973</v>
      </c>
      <c r="R36" s="25"/>
      <c r="S36" s="1"/>
      <c r="T36" s="136"/>
      <c r="U36" s="58"/>
      <c r="V36" s="58"/>
      <c r="W36" s="58"/>
      <c r="X36" s="58"/>
      <c r="Y36" s="180"/>
      <c r="Z36" s="181"/>
      <c r="AA36" s="181"/>
      <c r="AB36" s="181"/>
      <c r="AC36" s="181"/>
      <c r="AD36" s="181"/>
      <c r="AE36" s="181"/>
      <c r="AF36" s="181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8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8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</row>
    <row r="37" spans="1:251" ht="18.75" x14ac:dyDescent="0.3">
      <c r="D37" s="176" t="s">
        <v>69</v>
      </c>
      <c r="E37" s="177"/>
      <c r="F37" s="182"/>
      <c r="H37" s="25"/>
      <c r="I37" s="140" t="s">
        <v>70</v>
      </c>
      <c r="J37" s="99">
        <f>AVERAGE(J28,J24)</f>
        <v>142.96926760116452</v>
      </c>
      <c r="K37" s="99">
        <f t="shared" ref="K37:P37" si="113">AVERAGE(K28,K24)</f>
        <v>207.81661007789023</v>
      </c>
      <c r="L37" s="99">
        <f t="shared" si="113"/>
        <v>208.09782661821453</v>
      </c>
      <c r="M37" s="99">
        <f t="shared" si="113"/>
        <v>124.48245078485463</v>
      </c>
      <c r="N37" s="99">
        <f t="shared" si="113"/>
        <v>32.447005158365855</v>
      </c>
      <c r="O37" s="99">
        <f t="shared" si="113"/>
        <v>0</v>
      </c>
      <c r="P37" s="99">
        <f t="shared" si="113"/>
        <v>0</v>
      </c>
      <c r="Q37" s="119" t="s">
        <v>39</v>
      </c>
      <c r="R37" s="25"/>
      <c r="S37" s="1"/>
      <c r="T37" s="183" t="s">
        <v>71</v>
      </c>
      <c r="U37" s="58"/>
      <c r="V37" s="184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  <c r="GL37" s="58"/>
      <c r="GM37" s="58"/>
      <c r="GN37" s="58"/>
      <c r="GO37" s="58"/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8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58"/>
      <c r="HO37" s="58"/>
      <c r="HP37" s="58"/>
      <c r="HQ37" s="58"/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8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</row>
    <row r="38" spans="1:251" ht="18" customHeight="1" x14ac:dyDescent="0.3">
      <c r="D38" s="176" t="s">
        <v>72</v>
      </c>
      <c r="E38" s="185"/>
      <c r="F38" s="186"/>
      <c r="H38" s="25"/>
      <c r="I38" s="157" t="s">
        <v>73</v>
      </c>
      <c r="J38" s="187">
        <f>IF(J37=0,"-",J36/J37)</f>
        <v>0.13048008459151111</v>
      </c>
      <c r="K38" s="187">
        <f t="shared" ref="K38:P38" si="114">IF(K37=0,"-",K36/K37)</f>
        <v>0.13869906148348043</v>
      </c>
      <c r="L38" s="187">
        <f t="shared" si="114"/>
        <v>0.14580912170648727</v>
      </c>
      <c r="M38" s="187">
        <f t="shared" si="114"/>
        <v>0.14146138046790249</v>
      </c>
      <c r="N38" s="187">
        <f t="shared" si="114"/>
        <v>7.9419833531923473E-2</v>
      </c>
      <c r="O38" s="187" t="str">
        <f t="shared" si="114"/>
        <v>-</v>
      </c>
      <c r="P38" s="187" t="str">
        <f t="shared" si="114"/>
        <v>-</v>
      </c>
      <c r="Q38" s="188">
        <f>$V$87</f>
        <v>0.13691780587648267</v>
      </c>
      <c r="R38" s="25"/>
      <c r="S38" s="1"/>
      <c r="T38" s="34" t="s">
        <v>74</v>
      </c>
      <c r="U38" s="58"/>
      <c r="V38" s="58">
        <f>IF(AND($E$21=TRUE,V7&lt;=$E$9),-U10*($E$20/12),0)</f>
        <v>0</v>
      </c>
      <c r="W38" s="58">
        <f t="shared" ref="W38:CH38" si="115">IF(AND($E$21=TRUE,W7&lt;=$E$9),-V10*($E$20/12),0)</f>
        <v>0</v>
      </c>
      <c r="X38" s="58">
        <f t="shared" si="115"/>
        <v>0</v>
      </c>
      <c r="Y38" s="58">
        <f t="shared" si="115"/>
        <v>0</v>
      </c>
      <c r="Z38" s="58">
        <f>IF(AND($E$21=TRUE,Z7&lt;=$E$9),-Y10*($E$20/12),0)</f>
        <v>0</v>
      </c>
      <c r="AA38" s="58">
        <f t="shared" si="115"/>
        <v>0</v>
      </c>
      <c r="AB38" s="58">
        <f t="shared" si="115"/>
        <v>0</v>
      </c>
      <c r="AC38" s="58">
        <f t="shared" si="115"/>
        <v>0</v>
      </c>
      <c r="AD38" s="58">
        <f t="shared" si="115"/>
        <v>0</v>
      </c>
      <c r="AE38" s="58">
        <f t="shared" si="115"/>
        <v>0</v>
      </c>
      <c r="AF38" s="58">
        <f t="shared" si="115"/>
        <v>0</v>
      </c>
      <c r="AG38" s="58">
        <f t="shared" si="115"/>
        <v>0</v>
      </c>
      <c r="AH38" s="58">
        <f t="shared" si="115"/>
        <v>0</v>
      </c>
      <c r="AI38" s="58">
        <f t="shared" si="115"/>
        <v>0</v>
      </c>
      <c r="AJ38" s="58">
        <f t="shared" si="115"/>
        <v>0</v>
      </c>
      <c r="AK38" s="58">
        <f t="shared" si="115"/>
        <v>0</v>
      </c>
      <c r="AL38" s="58">
        <f t="shared" si="115"/>
        <v>0</v>
      </c>
      <c r="AM38" s="58">
        <f t="shared" si="115"/>
        <v>0</v>
      </c>
      <c r="AN38" s="58">
        <f t="shared" si="115"/>
        <v>0</v>
      </c>
      <c r="AO38" s="58">
        <f t="shared" si="115"/>
        <v>0</v>
      </c>
      <c r="AP38" s="58">
        <f t="shared" si="115"/>
        <v>0</v>
      </c>
      <c r="AQ38" s="58">
        <f t="shared" si="115"/>
        <v>0</v>
      </c>
      <c r="AR38" s="58">
        <f t="shared" si="115"/>
        <v>0</v>
      </c>
      <c r="AS38" s="58">
        <f t="shared" si="115"/>
        <v>0</v>
      </c>
      <c r="AT38" s="58">
        <f t="shared" si="115"/>
        <v>0</v>
      </c>
      <c r="AU38" s="58">
        <f t="shared" si="115"/>
        <v>0</v>
      </c>
      <c r="AV38" s="58">
        <f t="shared" si="115"/>
        <v>0</v>
      </c>
      <c r="AW38" s="58">
        <f t="shared" si="115"/>
        <v>0</v>
      </c>
      <c r="AX38" s="58">
        <f t="shared" si="115"/>
        <v>0</v>
      </c>
      <c r="AY38" s="58">
        <f t="shared" si="115"/>
        <v>0</v>
      </c>
      <c r="AZ38" s="58">
        <f t="shared" si="115"/>
        <v>0</v>
      </c>
      <c r="BA38" s="58">
        <f t="shared" si="115"/>
        <v>0</v>
      </c>
      <c r="BB38" s="58">
        <f t="shared" si="115"/>
        <v>0</v>
      </c>
      <c r="BC38" s="58">
        <f t="shared" si="115"/>
        <v>0</v>
      </c>
      <c r="BD38" s="58">
        <f t="shared" si="115"/>
        <v>0</v>
      </c>
      <c r="BE38" s="58">
        <f t="shared" si="115"/>
        <v>0</v>
      </c>
      <c r="BF38" s="58">
        <f t="shared" si="115"/>
        <v>0</v>
      </c>
      <c r="BG38" s="58">
        <f t="shared" si="115"/>
        <v>0</v>
      </c>
      <c r="BH38" s="58">
        <f t="shared" si="115"/>
        <v>0</v>
      </c>
      <c r="BI38" s="58">
        <f t="shared" si="115"/>
        <v>0</v>
      </c>
      <c r="BJ38" s="58">
        <f t="shared" si="115"/>
        <v>0</v>
      </c>
      <c r="BK38" s="58">
        <f t="shared" si="115"/>
        <v>0</v>
      </c>
      <c r="BL38" s="58">
        <f t="shared" si="115"/>
        <v>0</v>
      </c>
      <c r="BM38" s="58">
        <f t="shared" si="115"/>
        <v>0</v>
      </c>
      <c r="BN38" s="58">
        <f t="shared" si="115"/>
        <v>0</v>
      </c>
      <c r="BO38" s="58">
        <f t="shared" si="115"/>
        <v>0</v>
      </c>
      <c r="BP38" s="58">
        <f t="shared" si="115"/>
        <v>0</v>
      </c>
      <c r="BQ38" s="58">
        <f t="shared" si="115"/>
        <v>0</v>
      </c>
      <c r="BR38" s="58">
        <f t="shared" si="115"/>
        <v>0</v>
      </c>
      <c r="BS38" s="58">
        <f t="shared" si="115"/>
        <v>0</v>
      </c>
      <c r="BT38" s="58">
        <f t="shared" si="115"/>
        <v>0</v>
      </c>
      <c r="BU38" s="58">
        <f t="shared" si="115"/>
        <v>0</v>
      </c>
      <c r="BV38" s="58">
        <f t="shared" si="115"/>
        <v>0</v>
      </c>
      <c r="BW38" s="58">
        <f t="shared" si="115"/>
        <v>0</v>
      </c>
      <c r="BX38" s="58">
        <f t="shared" si="115"/>
        <v>0</v>
      </c>
      <c r="BY38" s="58">
        <f t="shared" si="115"/>
        <v>0</v>
      </c>
      <c r="BZ38" s="58">
        <f t="shared" si="115"/>
        <v>0</v>
      </c>
      <c r="CA38" s="58">
        <f t="shared" si="115"/>
        <v>0</v>
      </c>
      <c r="CB38" s="58">
        <f t="shared" si="115"/>
        <v>0</v>
      </c>
      <c r="CC38" s="58">
        <f t="shared" si="115"/>
        <v>0</v>
      </c>
      <c r="CD38" s="58">
        <f t="shared" si="115"/>
        <v>0</v>
      </c>
      <c r="CE38" s="58">
        <f t="shared" si="115"/>
        <v>0</v>
      </c>
      <c r="CF38" s="58">
        <f t="shared" si="115"/>
        <v>0</v>
      </c>
      <c r="CG38" s="58">
        <f t="shared" si="115"/>
        <v>0</v>
      </c>
      <c r="CH38" s="58">
        <f t="shared" si="115"/>
        <v>0</v>
      </c>
      <c r="CI38" s="58">
        <f t="shared" ref="CI38:ET38" si="116">IF(AND($E$21=TRUE,CI7&lt;=$E$9),-CH10*($E$20/12),0)</f>
        <v>0</v>
      </c>
      <c r="CJ38" s="58">
        <f t="shared" si="116"/>
        <v>0</v>
      </c>
      <c r="CK38" s="58">
        <f t="shared" si="116"/>
        <v>0</v>
      </c>
      <c r="CL38" s="58">
        <f t="shared" si="116"/>
        <v>0</v>
      </c>
      <c r="CM38" s="58">
        <f t="shared" si="116"/>
        <v>0</v>
      </c>
      <c r="CN38" s="58">
        <f t="shared" si="116"/>
        <v>0</v>
      </c>
      <c r="CO38" s="58">
        <f t="shared" si="116"/>
        <v>0</v>
      </c>
      <c r="CP38" s="58">
        <f t="shared" si="116"/>
        <v>0</v>
      </c>
      <c r="CQ38" s="58">
        <f t="shared" si="116"/>
        <v>0</v>
      </c>
      <c r="CR38" s="58">
        <f t="shared" si="116"/>
        <v>0</v>
      </c>
      <c r="CS38" s="58">
        <f t="shared" si="116"/>
        <v>0</v>
      </c>
      <c r="CT38" s="58">
        <f t="shared" si="116"/>
        <v>0</v>
      </c>
      <c r="CU38" s="58">
        <f t="shared" si="116"/>
        <v>0</v>
      </c>
      <c r="CV38" s="58">
        <f t="shared" si="116"/>
        <v>0</v>
      </c>
      <c r="CW38" s="58">
        <f t="shared" si="116"/>
        <v>0</v>
      </c>
      <c r="CX38" s="58">
        <f t="shared" si="116"/>
        <v>0</v>
      </c>
      <c r="CY38" s="58">
        <f t="shared" si="116"/>
        <v>0</v>
      </c>
      <c r="CZ38" s="58">
        <f t="shared" si="116"/>
        <v>0</v>
      </c>
      <c r="DA38" s="58">
        <f t="shared" si="116"/>
        <v>0</v>
      </c>
      <c r="DB38" s="58">
        <f t="shared" si="116"/>
        <v>0</v>
      </c>
      <c r="DC38" s="58">
        <f t="shared" si="116"/>
        <v>0</v>
      </c>
      <c r="DD38" s="58">
        <f t="shared" si="116"/>
        <v>0</v>
      </c>
      <c r="DE38" s="58">
        <f t="shared" si="116"/>
        <v>0</v>
      </c>
      <c r="DF38" s="58">
        <f t="shared" si="116"/>
        <v>0</v>
      </c>
      <c r="DG38" s="58">
        <f t="shared" si="116"/>
        <v>0</v>
      </c>
      <c r="DH38" s="58">
        <f t="shared" si="116"/>
        <v>0</v>
      </c>
      <c r="DI38" s="58">
        <f t="shared" si="116"/>
        <v>0</v>
      </c>
      <c r="DJ38" s="58">
        <f t="shared" si="116"/>
        <v>0</v>
      </c>
      <c r="DK38" s="58">
        <f t="shared" si="116"/>
        <v>0</v>
      </c>
      <c r="DL38" s="58">
        <f t="shared" si="116"/>
        <v>0</v>
      </c>
      <c r="DM38" s="58">
        <f t="shared" si="116"/>
        <v>0</v>
      </c>
      <c r="DN38" s="58">
        <f t="shared" si="116"/>
        <v>0</v>
      </c>
      <c r="DO38" s="58">
        <f t="shared" si="116"/>
        <v>0</v>
      </c>
      <c r="DP38" s="58">
        <f t="shared" si="116"/>
        <v>0</v>
      </c>
      <c r="DQ38" s="58">
        <f t="shared" si="116"/>
        <v>0</v>
      </c>
      <c r="DR38" s="58">
        <f t="shared" si="116"/>
        <v>0</v>
      </c>
      <c r="DS38" s="58">
        <f t="shared" si="116"/>
        <v>0</v>
      </c>
      <c r="DT38" s="58">
        <f t="shared" si="116"/>
        <v>0</v>
      </c>
      <c r="DU38" s="58">
        <f t="shared" si="116"/>
        <v>0</v>
      </c>
      <c r="DV38" s="58">
        <f t="shared" si="116"/>
        <v>0</v>
      </c>
      <c r="DW38" s="58">
        <f t="shared" si="116"/>
        <v>0</v>
      </c>
      <c r="DX38" s="58">
        <f t="shared" si="116"/>
        <v>0</v>
      </c>
      <c r="DY38" s="58">
        <f t="shared" si="116"/>
        <v>0</v>
      </c>
      <c r="DZ38" s="58">
        <f t="shared" si="116"/>
        <v>0</v>
      </c>
      <c r="EA38" s="58">
        <f t="shared" si="116"/>
        <v>0</v>
      </c>
      <c r="EB38" s="58">
        <f t="shared" si="116"/>
        <v>0</v>
      </c>
      <c r="EC38" s="58">
        <f t="shared" si="116"/>
        <v>0</v>
      </c>
      <c r="ED38" s="58">
        <f t="shared" si="116"/>
        <v>0</v>
      </c>
      <c r="EE38" s="58">
        <f t="shared" si="116"/>
        <v>0</v>
      </c>
      <c r="EF38" s="58">
        <f t="shared" si="116"/>
        <v>0</v>
      </c>
      <c r="EG38" s="58">
        <f t="shared" si="116"/>
        <v>0</v>
      </c>
      <c r="EH38" s="58">
        <f t="shared" si="116"/>
        <v>0</v>
      </c>
      <c r="EI38" s="58">
        <f t="shared" si="116"/>
        <v>0</v>
      </c>
      <c r="EJ38" s="58">
        <f t="shared" si="116"/>
        <v>0</v>
      </c>
      <c r="EK38" s="58">
        <f t="shared" si="116"/>
        <v>0</v>
      </c>
      <c r="EL38" s="58">
        <f t="shared" si="116"/>
        <v>0</v>
      </c>
      <c r="EM38" s="58">
        <f t="shared" si="116"/>
        <v>0</v>
      </c>
      <c r="EN38" s="58">
        <f t="shared" si="116"/>
        <v>0</v>
      </c>
      <c r="EO38" s="58">
        <f t="shared" si="116"/>
        <v>0</v>
      </c>
      <c r="EP38" s="58">
        <f t="shared" si="116"/>
        <v>0</v>
      </c>
      <c r="EQ38" s="58">
        <f t="shared" si="116"/>
        <v>0</v>
      </c>
      <c r="ER38" s="58">
        <f t="shared" si="116"/>
        <v>0</v>
      </c>
      <c r="ES38" s="58">
        <f t="shared" si="116"/>
        <v>0</v>
      </c>
      <c r="ET38" s="58">
        <f t="shared" si="116"/>
        <v>0</v>
      </c>
      <c r="EU38" s="58">
        <f t="shared" ref="EU38:HF38" si="117">IF(AND($E$21=TRUE,EU7&lt;=$E$9),-ET10*($E$20/12),0)</f>
        <v>0</v>
      </c>
      <c r="EV38" s="58">
        <f t="shared" si="117"/>
        <v>0</v>
      </c>
      <c r="EW38" s="58">
        <f t="shared" si="117"/>
        <v>0</v>
      </c>
      <c r="EX38" s="58">
        <f t="shared" si="117"/>
        <v>0</v>
      </c>
      <c r="EY38" s="58">
        <f t="shared" si="117"/>
        <v>0</v>
      </c>
      <c r="EZ38" s="58">
        <f t="shared" si="117"/>
        <v>0</v>
      </c>
      <c r="FA38" s="58">
        <f t="shared" si="117"/>
        <v>0</v>
      </c>
      <c r="FB38" s="58">
        <f t="shared" si="117"/>
        <v>0</v>
      </c>
      <c r="FC38" s="58">
        <f t="shared" si="117"/>
        <v>0</v>
      </c>
      <c r="FD38" s="58">
        <f t="shared" si="117"/>
        <v>0</v>
      </c>
      <c r="FE38" s="58">
        <f t="shared" si="117"/>
        <v>0</v>
      </c>
      <c r="FF38" s="58">
        <f t="shared" si="117"/>
        <v>0</v>
      </c>
      <c r="FG38" s="58">
        <f t="shared" si="117"/>
        <v>0</v>
      </c>
      <c r="FH38" s="58">
        <f t="shared" si="117"/>
        <v>0</v>
      </c>
      <c r="FI38" s="58">
        <f t="shared" si="117"/>
        <v>0</v>
      </c>
      <c r="FJ38" s="58">
        <f t="shared" si="117"/>
        <v>0</v>
      </c>
      <c r="FK38" s="58">
        <f t="shared" si="117"/>
        <v>0</v>
      </c>
      <c r="FL38" s="58">
        <f t="shared" si="117"/>
        <v>0</v>
      </c>
      <c r="FM38" s="58">
        <f t="shared" si="117"/>
        <v>0</v>
      </c>
      <c r="FN38" s="58">
        <f t="shared" si="117"/>
        <v>0</v>
      </c>
      <c r="FO38" s="58">
        <f t="shared" si="117"/>
        <v>0</v>
      </c>
      <c r="FP38" s="58">
        <f t="shared" si="117"/>
        <v>0</v>
      </c>
      <c r="FQ38" s="58">
        <f t="shared" si="117"/>
        <v>0</v>
      </c>
      <c r="FR38" s="58">
        <f t="shared" si="117"/>
        <v>0</v>
      </c>
      <c r="FS38" s="58">
        <f t="shared" si="117"/>
        <v>0</v>
      </c>
      <c r="FT38" s="58">
        <f t="shared" si="117"/>
        <v>0</v>
      </c>
      <c r="FU38" s="58">
        <f t="shared" si="117"/>
        <v>0</v>
      </c>
      <c r="FV38" s="58">
        <f t="shared" si="117"/>
        <v>0</v>
      </c>
      <c r="FW38" s="58">
        <f t="shared" si="117"/>
        <v>0</v>
      </c>
      <c r="FX38" s="58">
        <f t="shared" si="117"/>
        <v>0</v>
      </c>
      <c r="FY38" s="58">
        <f t="shared" si="117"/>
        <v>0</v>
      </c>
      <c r="FZ38" s="58">
        <f t="shared" si="117"/>
        <v>0</v>
      </c>
      <c r="GA38" s="58">
        <f t="shared" si="117"/>
        <v>0</v>
      </c>
      <c r="GB38" s="58">
        <f t="shared" si="117"/>
        <v>0</v>
      </c>
      <c r="GC38" s="58">
        <f t="shared" si="117"/>
        <v>0</v>
      </c>
      <c r="GD38" s="58">
        <f t="shared" si="117"/>
        <v>0</v>
      </c>
      <c r="GE38" s="58">
        <f t="shared" si="117"/>
        <v>0</v>
      </c>
      <c r="GF38" s="58">
        <f t="shared" si="117"/>
        <v>0</v>
      </c>
      <c r="GG38" s="58">
        <f t="shared" si="117"/>
        <v>0</v>
      </c>
      <c r="GH38" s="58">
        <f t="shared" si="117"/>
        <v>0</v>
      </c>
      <c r="GI38" s="58">
        <f t="shared" si="117"/>
        <v>0</v>
      </c>
      <c r="GJ38" s="58">
        <f t="shared" si="117"/>
        <v>0</v>
      </c>
      <c r="GK38" s="58">
        <f t="shared" si="117"/>
        <v>0</v>
      </c>
      <c r="GL38" s="58">
        <f t="shared" si="117"/>
        <v>0</v>
      </c>
      <c r="GM38" s="58">
        <f t="shared" si="117"/>
        <v>0</v>
      </c>
      <c r="GN38" s="58">
        <f t="shared" si="117"/>
        <v>0</v>
      </c>
      <c r="GO38" s="58">
        <f t="shared" si="117"/>
        <v>0</v>
      </c>
      <c r="GP38" s="58">
        <f t="shared" si="117"/>
        <v>0</v>
      </c>
      <c r="GQ38" s="58">
        <f t="shared" si="117"/>
        <v>0</v>
      </c>
      <c r="GR38" s="58">
        <f t="shared" si="117"/>
        <v>0</v>
      </c>
      <c r="GS38" s="58">
        <f t="shared" si="117"/>
        <v>0</v>
      </c>
      <c r="GT38" s="58">
        <f t="shared" si="117"/>
        <v>0</v>
      </c>
      <c r="GU38" s="58">
        <f t="shared" si="117"/>
        <v>0</v>
      </c>
      <c r="GV38" s="58">
        <f t="shared" si="117"/>
        <v>0</v>
      </c>
      <c r="GW38" s="58">
        <f t="shared" si="117"/>
        <v>0</v>
      </c>
      <c r="GX38" s="58">
        <f t="shared" si="117"/>
        <v>0</v>
      </c>
      <c r="GY38" s="58">
        <f t="shared" si="117"/>
        <v>0</v>
      </c>
      <c r="GZ38" s="58">
        <f t="shared" si="117"/>
        <v>0</v>
      </c>
      <c r="HA38" s="58">
        <f t="shared" si="117"/>
        <v>0</v>
      </c>
      <c r="HB38" s="58">
        <f t="shared" si="117"/>
        <v>0</v>
      </c>
      <c r="HC38" s="58">
        <f t="shared" si="117"/>
        <v>0</v>
      </c>
      <c r="HD38" s="58">
        <f t="shared" si="117"/>
        <v>0</v>
      </c>
      <c r="HE38" s="58">
        <f t="shared" si="117"/>
        <v>0</v>
      </c>
      <c r="HF38" s="58">
        <f t="shared" si="117"/>
        <v>0</v>
      </c>
      <c r="HG38" s="58">
        <f t="shared" ref="HG38:IB38" si="118">IF(AND($E$21=TRUE,HG7&lt;=$E$9),-HF10*($E$20/12),0)</f>
        <v>0</v>
      </c>
      <c r="HH38" s="58">
        <f t="shared" si="118"/>
        <v>0</v>
      </c>
      <c r="HI38" s="58">
        <f t="shared" si="118"/>
        <v>0</v>
      </c>
      <c r="HJ38" s="58">
        <f t="shared" si="118"/>
        <v>0</v>
      </c>
      <c r="HK38" s="58">
        <f t="shared" si="118"/>
        <v>0</v>
      </c>
      <c r="HL38" s="58">
        <f t="shared" si="118"/>
        <v>0</v>
      </c>
      <c r="HM38" s="58">
        <f t="shared" si="118"/>
        <v>0</v>
      </c>
      <c r="HN38" s="58">
        <f t="shared" si="118"/>
        <v>0</v>
      </c>
      <c r="HO38" s="58">
        <f t="shared" si="118"/>
        <v>0</v>
      </c>
      <c r="HP38" s="58">
        <f t="shared" si="118"/>
        <v>0</v>
      </c>
      <c r="HQ38" s="58">
        <f t="shared" si="118"/>
        <v>0</v>
      </c>
      <c r="HR38" s="58">
        <f t="shared" si="118"/>
        <v>0</v>
      </c>
      <c r="HS38" s="58">
        <f t="shared" si="118"/>
        <v>0</v>
      </c>
      <c r="HT38" s="58">
        <f t="shared" si="118"/>
        <v>0</v>
      </c>
      <c r="HU38" s="58">
        <f t="shared" si="118"/>
        <v>0</v>
      </c>
      <c r="HV38" s="58">
        <f t="shared" si="118"/>
        <v>0</v>
      </c>
      <c r="HW38" s="58">
        <f t="shared" si="118"/>
        <v>0</v>
      </c>
      <c r="HX38" s="58">
        <f t="shared" si="118"/>
        <v>0</v>
      </c>
      <c r="HY38" s="58">
        <f t="shared" si="118"/>
        <v>0</v>
      </c>
      <c r="HZ38" s="58">
        <f t="shared" si="118"/>
        <v>0</v>
      </c>
      <c r="IA38" s="58">
        <f t="shared" si="118"/>
        <v>0</v>
      </c>
      <c r="IB38" s="58">
        <f t="shared" si="118"/>
        <v>0</v>
      </c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</row>
    <row r="39" spans="1:251" ht="18" customHeight="1" x14ac:dyDescent="0.3">
      <c r="D39" s="189" t="s">
        <v>75</v>
      </c>
      <c r="E39" s="185"/>
      <c r="F39" s="190"/>
      <c r="H39" s="25"/>
      <c r="I39" s="191" t="s">
        <v>76</v>
      </c>
      <c r="J39" s="192">
        <f>IFERROR(ABS(J33/J37),0)</f>
        <v>7.6633320004744362E-2</v>
      </c>
      <c r="K39" s="192">
        <f t="shared" ref="K39:P39" si="119">IFERROR(ABS(K33/K37),0)</f>
        <v>8.1310340325344538E-2</v>
      </c>
      <c r="L39" s="192">
        <f t="shared" si="119"/>
        <v>8.5283052973635157E-2</v>
      </c>
      <c r="M39" s="192">
        <f t="shared" si="119"/>
        <v>8.2555135522772036E-2</v>
      </c>
      <c r="N39" s="192">
        <f t="shared" si="119"/>
        <v>4.4030571869909434E-2</v>
      </c>
      <c r="O39" s="192">
        <f t="shared" si="119"/>
        <v>0</v>
      </c>
      <c r="P39" s="192">
        <f t="shared" si="119"/>
        <v>0</v>
      </c>
      <c r="Q39" s="193">
        <f>W87</f>
        <v>8.0057752311905428E-2</v>
      </c>
      <c r="R39" s="25"/>
      <c r="S39" s="1"/>
      <c r="T39" s="34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  <c r="GL39" s="58"/>
      <c r="GM39" s="58"/>
      <c r="GN39" s="58"/>
      <c r="GO39" s="58"/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8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58"/>
      <c r="HO39" s="58"/>
      <c r="HP39" s="58"/>
      <c r="HQ39" s="58"/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8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</row>
    <row r="40" spans="1:251" ht="18" customHeight="1" x14ac:dyDescent="0.3">
      <c r="D40" s="189" t="s">
        <v>77</v>
      </c>
      <c r="E40" s="185"/>
      <c r="F40" s="190"/>
      <c r="H40" s="25"/>
      <c r="I40" s="167" t="s">
        <v>78</v>
      </c>
      <c r="J40" s="194">
        <f>$V$80</f>
        <v>0.13048008459151111</v>
      </c>
      <c r="K40" s="98"/>
      <c r="L40" s="25"/>
      <c r="M40" s="25"/>
      <c r="N40" s="25"/>
      <c r="O40" s="25"/>
      <c r="P40" s="25"/>
      <c r="Q40" s="98"/>
      <c r="R40" s="25"/>
      <c r="S40" s="1"/>
      <c r="T40" s="34" t="s">
        <v>79</v>
      </c>
      <c r="U40" s="58"/>
      <c r="V40" s="58">
        <f>+IF(V7&gt;$E$9,-U17*($E$20/12),0)</f>
        <v>0</v>
      </c>
      <c r="W40" s="58">
        <f t="shared" ref="W40:CH40" si="120">+IF(W7&gt;$E$9,-V17*($E$20/12),0)</f>
        <v>0</v>
      </c>
      <c r="X40" s="58">
        <f t="shared" si="120"/>
        <v>0</v>
      </c>
      <c r="Y40" s="58">
        <f t="shared" si="120"/>
        <v>0</v>
      </c>
      <c r="Z40" s="58">
        <f t="shared" si="120"/>
        <v>0</v>
      </c>
      <c r="AA40" s="58">
        <f t="shared" si="120"/>
        <v>0</v>
      </c>
      <c r="AB40" s="58">
        <f t="shared" si="120"/>
        <v>0</v>
      </c>
      <c r="AC40" s="58">
        <f t="shared" si="120"/>
        <v>0</v>
      </c>
      <c r="AD40" s="58">
        <f t="shared" si="120"/>
        <v>0</v>
      </c>
      <c r="AE40" s="58">
        <f t="shared" si="120"/>
        <v>0</v>
      </c>
      <c r="AF40" s="58">
        <f t="shared" si="120"/>
        <v>0</v>
      </c>
      <c r="AG40" s="58">
        <f t="shared" si="120"/>
        <v>0</v>
      </c>
      <c r="AH40" s="58">
        <f t="shared" si="120"/>
        <v>0</v>
      </c>
      <c r="AI40" s="58">
        <f t="shared" si="120"/>
        <v>0</v>
      </c>
      <c r="AJ40" s="58">
        <f t="shared" si="120"/>
        <v>0</v>
      </c>
      <c r="AK40" s="58">
        <f t="shared" si="120"/>
        <v>0</v>
      </c>
      <c r="AL40" s="58">
        <f t="shared" si="120"/>
        <v>0</v>
      </c>
      <c r="AM40" s="58">
        <f t="shared" si="120"/>
        <v>0</v>
      </c>
      <c r="AN40" s="58">
        <f t="shared" si="120"/>
        <v>-132812.5</v>
      </c>
      <c r="AO40" s="58">
        <f t="shared" si="120"/>
        <v>-132812.5</v>
      </c>
      <c r="AP40" s="58">
        <f t="shared" si="120"/>
        <v>-132812.5</v>
      </c>
      <c r="AQ40" s="58">
        <f t="shared" si="120"/>
        <v>-132812.5</v>
      </c>
      <c r="AR40" s="58">
        <f t="shared" si="120"/>
        <v>-132812.5</v>
      </c>
      <c r="AS40" s="58">
        <f t="shared" si="120"/>
        <v>-132812.5</v>
      </c>
      <c r="AT40" s="58">
        <f t="shared" si="120"/>
        <v>-132812.5</v>
      </c>
      <c r="AU40" s="58">
        <f t="shared" si="120"/>
        <v>-132812.5</v>
      </c>
      <c r="AV40" s="58">
        <f t="shared" si="120"/>
        <v>-132812.5</v>
      </c>
      <c r="AW40" s="58">
        <f t="shared" si="120"/>
        <v>-132812.5</v>
      </c>
      <c r="AX40" s="58">
        <f t="shared" si="120"/>
        <v>-132812.5</v>
      </c>
      <c r="AY40" s="58">
        <f t="shared" si="120"/>
        <v>-132812.5</v>
      </c>
      <c r="AZ40" s="58">
        <f t="shared" si="120"/>
        <v>-132812.5</v>
      </c>
      <c r="BA40" s="58">
        <f t="shared" si="120"/>
        <v>-127278.64583333334</v>
      </c>
      <c r="BB40" s="58">
        <f t="shared" si="120"/>
        <v>-121744.79166666669</v>
      </c>
      <c r="BC40" s="58">
        <f>+IF(BC7&gt;$E$9,-BB17*($E$20/12),0)</f>
        <v>-116210.93750000001</v>
      </c>
      <c r="BD40" s="58">
        <f t="shared" si="120"/>
        <v>-110677.08333333336</v>
      </c>
      <c r="BE40" s="58">
        <f t="shared" si="120"/>
        <v>-105143.2291666667</v>
      </c>
      <c r="BF40" s="58">
        <f t="shared" si="120"/>
        <v>-99609.375000000044</v>
      </c>
      <c r="BG40" s="58">
        <f t="shared" si="120"/>
        <v>-94075.520833333372</v>
      </c>
      <c r="BH40" s="58">
        <f t="shared" si="120"/>
        <v>-88541.666666666715</v>
      </c>
      <c r="BI40" s="58">
        <f t="shared" si="120"/>
        <v>-83007.812500000044</v>
      </c>
      <c r="BJ40" s="58">
        <f t="shared" si="120"/>
        <v>-77473.958333333372</v>
      </c>
      <c r="BK40" s="58">
        <f t="shared" si="120"/>
        <v>-71940.104166666715</v>
      </c>
      <c r="BL40" s="58">
        <f t="shared" si="120"/>
        <v>-66406.250000000044</v>
      </c>
      <c r="BM40" s="58">
        <f t="shared" si="120"/>
        <v>-60872.395833333372</v>
      </c>
      <c r="BN40" s="58">
        <f t="shared" si="120"/>
        <v>-55338.541666666701</v>
      </c>
      <c r="BO40" s="58">
        <f t="shared" si="120"/>
        <v>-49804.687500000029</v>
      </c>
      <c r="BP40" s="58">
        <f t="shared" si="120"/>
        <v>-44270.833333333358</v>
      </c>
      <c r="BQ40" s="58">
        <f t="shared" si="120"/>
        <v>-38736.979166666686</v>
      </c>
      <c r="BR40" s="58">
        <f t="shared" si="120"/>
        <v>-33203.125000000022</v>
      </c>
      <c r="BS40" s="58">
        <f t="shared" si="120"/>
        <v>-27669.27083333335</v>
      </c>
      <c r="BT40" s="58">
        <f t="shared" si="120"/>
        <v>-22135.416666666679</v>
      </c>
      <c r="BU40" s="58">
        <f t="shared" si="120"/>
        <v>-16601.562500000011</v>
      </c>
      <c r="BV40" s="58">
        <f t="shared" si="120"/>
        <v>-11067.708333333339</v>
      </c>
      <c r="BW40" s="58">
        <f t="shared" si="120"/>
        <v>-5533.8541666666697</v>
      </c>
      <c r="BX40" s="58">
        <f t="shared" si="120"/>
        <v>0</v>
      </c>
      <c r="BY40" s="58">
        <f t="shared" si="120"/>
        <v>0</v>
      </c>
      <c r="BZ40" s="58">
        <f t="shared" si="120"/>
        <v>0</v>
      </c>
      <c r="CA40" s="58">
        <f t="shared" si="120"/>
        <v>0</v>
      </c>
      <c r="CB40" s="58">
        <f t="shared" si="120"/>
        <v>0</v>
      </c>
      <c r="CC40" s="58">
        <f t="shared" si="120"/>
        <v>0</v>
      </c>
      <c r="CD40" s="58">
        <f t="shared" si="120"/>
        <v>0</v>
      </c>
      <c r="CE40" s="58">
        <f t="shared" si="120"/>
        <v>0</v>
      </c>
      <c r="CF40" s="58">
        <f t="shared" si="120"/>
        <v>0</v>
      </c>
      <c r="CG40" s="58">
        <f t="shared" si="120"/>
        <v>0</v>
      </c>
      <c r="CH40" s="58">
        <f t="shared" si="120"/>
        <v>0</v>
      </c>
      <c r="CI40" s="58">
        <f t="shared" ref="CI40:ET40" si="121">+IF(CI7&gt;$E$9,-CH17*($E$20/12),0)</f>
        <v>0</v>
      </c>
      <c r="CJ40" s="58">
        <f t="shared" si="121"/>
        <v>0</v>
      </c>
      <c r="CK40" s="58">
        <f t="shared" si="121"/>
        <v>0</v>
      </c>
      <c r="CL40" s="58">
        <f t="shared" si="121"/>
        <v>0</v>
      </c>
      <c r="CM40" s="58">
        <f t="shared" si="121"/>
        <v>0</v>
      </c>
      <c r="CN40" s="58">
        <f t="shared" si="121"/>
        <v>0</v>
      </c>
      <c r="CO40" s="58">
        <f t="shared" si="121"/>
        <v>0</v>
      </c>
      <c r="CP40" s="58">
        <f t="shared" si="121"/>
        <v>0</v>
      </c>
      <c r="CQ40" s="58">
        <f t="shared" si="121"/>
        <v>0</v>
      </c>
      <c r="CR40" s="58">
        <f t="shared" si="121"/>
        <v>0</v>
      </c>
      <c r="CS40" s="58">
        <f t="shared" si="121"/>
        <v>0</v>
      </c>
      <c r="CT40" s="58">
        <f t="shared" si="121"/>
        <v>0</v>
      </c>
      <c r="CU40" s="58">
        <f t="shared" si="121"/>
        <v>0</v>
      </c>
      <c r="CV40" s="58">
        <f t="shared" si="121"/>
        <v>0</v>
      </c>
      <c r="CW40" s="58">
        <f t="shared" si="121"/>
        <v>0</v>
      </c>
      <c r="CX40" s="58">
        <f t="shared" si="121"/>
        <v>0</v>
      </c>
      <c r="CY40" s="58">
        <f t="shared" si="121"/>
        <v>0</v>
      </c>
      <c r="CZ40" s="58">
        <f t="shared" si="121"/>
        <v>0</v>
      </c>
      <c r="DA40" s="58">
        <f t="shared" si="121"/>
        <v>0</v>
      </c>
      <c r="DB40" s="58">
        <f t="shared" si="121"/>
        <v>0</v>
      </c>
      <c r="DC40" s="58">
        <f t="shared" si="121"/>
        <v>0</v>
      </c>
      <c r="DD40" s="58">
        <f t="shared" si="121"/>
        <v>0</v>
      </c>
      <c r="DE40" s="58">
        <f t="shared" si="121"/>
        <v>0</v>
      </c>
      <c r="DF40" s="58">
        <f t="shared" si="121"/>
        <v>0</v>
      </c>
      <c r="DG40" s="58">
        <f t="shared" si="121"/>
        <v>0</v>
      </c>
      <c r="DH40" s="58">
        <f t="shared" si="121"/>
        <v>0</v>
      </c>
      <c r="DI40" s="58">
        <f t="shared" si="121"/>
        <v>0</v>
      </c>
      <c r="DJ40" s="58">
        <f t="shared" si="121"/>
        <v>0</v>
      </c>
      <c r="DK40" s="58">
        <f t="shared" si="121"/>
        <v>0</v>
      </c>
      <c r="DL40" s="58">
        <f t="shared" si="121"/>
        <v>0</v>
      </c>
      <c r="DM40" s="58">
        <f t="shared" si="121"/>
        <v>0</v>
      </c>
      <c r="DN40" s="58">
        <f t="shared" si="121"/>
        <v>0</v>
      </c>
      <c r="DO40" s="58">
        <f t="shared" si="121"/>
        <v>0</v>
      </c>
      <c r="DP40" s="58">
        <f t="shared" si="121"/>
        <v>0</v>
      </c>
      <c r="DQ40" s="58">
        <f t="shared" si="121"/>
        <v>0</v>
      </c>
      <c r="DR40" s="58">
        <f t="shared" si="121"/>
        <v>0</v>
      </c>
      <c r="DS40" s="58">
        <f t="shared" si="121"/>
        <v>0</v>
      </c>
      <c r="DT40" s="58">
        <f t="shared" si="121"/>
        <v>0</v>
      </c>
      <c r="DU40" s="58">
        <f t="shared" si="121"/>
        <v>0</v>
      </c>
      <c r="DV40" s="58">
        <f t="shared" si="121"/>
        <v>0</v>
      </c>
      <c r="DW40" s="58">
        <f t="shared" si="121"/>
        <v>0</v>
      </c>
      <c r="DX40" s="58">
        <f t="shared" si="121"/>
        <v>0</v>
      </c>
      <c r="DY40" s="58">
        <f t="shared" si="121"/>
        <v>0</v>
      </c>
      <c r="DZ40" s="58">
        <f t="shared" si="121"/>
        <v>0</v>
      </c>
      <c r="EA40" s="58">
        <f t="shared" si="121"/>
        <v>0</v>
      </c>
      <c r="EB40" s="58">
        <f t="shared" si="121"/>
        <v>0</v>
      </c>
      <c r="EC40" s="58">
        <f t="shared" si="121"/>
        <v>0</v>
      </c>
      <c r="ED40" s="58">
        <f t="shared" si="121"/>
        <v>0</v>
      </c>
      <c r="EE40" s="58">
        <f t="shared" si="121"/>
        <v>0</v>
      </c>
      <c r="EF40" s="58">
        <f t="shared" si="121"/>
        <v>0</v>
      </c>
      <c r="EG40" s="58">
        <f t="shared" si="121"/>
        <v>0</v>
      </c>
      <c r="EH40" s="58">
        <f t="shared" si="121"/>
        <v>0</v>
      </c>
      <c r="EI40" s="58">
        <f t="shared" si="121"/>
        <v>0</v>
      </c>
      <c r="EJ40" s="58">
        <f t="shared" si="121"/>
        <v>0</v>
      </c>
      <c r="EK40" s="58">
        <f t="shared" si="121"/>
        <v>0</v>
      </c>
      <c r="EL40" s="58">
        <f t="shared" si="121"/>
        <v>0</v>
      </c>
      <c r="EM40" s="58">
        <f t="shared" si="121"/>
        <v>0</v>
      </c>
      <c r="EN40" s="58">
        <f t="shared" si="121"/>
        <v>0</v>
      </c>
      <c r="EO40" s="58">
        <f t="shared" si="121"/>
        <v>0</v>
      </c>
      <c r="EP40" s="58">
        <f t="shared" si="121"/>
        <v>0</v>
      </c>
      <c r="EQ40" s="58">
        <f t="shared" si="121"/>
        <v>0</v>
      </c>
      <c r="ER40" s="58">
        <f t="shared" si="121"/>
        <v>0</v>
      </c>
      <c r="ES40" s="58">
        <f t="shared" si="121"/>
        <v>0</v>
      </c>
      <c r="ET40" s="58">
        <f t="shared" si="121"/>
        <v>0</v>
      </c>
      <c r="EU40" s="58">
        <f t="shared" ref="EU40:HF40" si="122">+IF(EU7&gt;$E$9,-ET17*($E$20/12),0)</f>
        <v>0</v>
      </c>
      <c r="EV40" s="58">
        <f t="shared" si="122"/>
        <v>0</v>
      </c>
      <c r="EW40" s="58">
        <f t="shared" si="122"/>
        <v>0</v>
      </c>
      <c r="EX40" s="58">
        <f t="shared" si="122"/>
        <v>0</v>
      </c>
      <c r="EY40" s="58">
        <f t="shared" si="122"/>
        <v>0</v>
      </c>
      <c r="EZ40" s="58">
        <f t="shared" si="122"/>
        <v>0</v>
      </c>
      <c r="FA40" s="58">
        <f t="shared" si="122"/>
        <v>0</v>
      </c>
      <c r="FB40" s="58">
        <f t="shared" si="122"/>
        <v>0</v>
      </c>
      <c r="FC40" s="58">
        <f t="shared" si="122"/>
        <v>0</v>
      </c>
      <c r="FD40" s="58">
        <f t="shared" si="122"/>
        <v>0</v>
      </c>
      <c r="FE40" s="58">
        <f t="shared" si="122"/>
        <v>0</v>
      </c>
      <c r="FF40" s="58">
        <f t="shared" si="122"/>
        <v>0</v>
      </c>
      <c r="FG40" s="58">
        <f t="shared" si="122"/>
        <v>0</v>
      </c>
      <c r="FH40" s="58">
        <f t="shared" si="122"/>
        <v>0</v>
      </c>
      <c r="FI40" s="58">
        <f t="shared" si="122"/>
        <v>0</v>
      </c>
      <c r="FJ40" s="58">
        <f t="shared" si="122"/>
        <v>0</v>
      </c>
      <c r="FK40" s="58">
        <f t="shared" si="122"/>
        <v>0</v>
      </c>
      <c r="FL40" s="58">
        <f t="shared" si="122"/>
        <v>0</v>
      </c>
      <c r="FM40" s="58">
        <f t="shared" si="122"/>
        <v>0</v>
      </c>
      <c r="FN40" s="58">
        <f t="shared" si="122"/>
        <v>0</v>
      </c>
      <c r="FO40" s="58">
        <f t="shared" si="122"/>
        <v>0</v>
      </c>
      <c r="FP40" s="58">
        <f t="shared" si="122"/>
        <v>0</v>
      </c>
      <c r="FQ40" s="58">
        <f t="shared" si="122"/>
        <v>0</v>
      </c>
      <c r="FR40" s="58">
        <f t="shared" si="122"/>
        <v>0</v>
      </c>
      <c r="FS40" s="58">
        <f t="shared" si="122"/>
        <v>0</v>
      </c>
      <c r="FT40" s="58">
        <f t="shared" si="122"/>
        <v>0</v>
      </c>
      <c r="FU40" s="58">
        <f t="shared" si="122"/>
        <v>0</v>
      </c>
      <c r="FV40" s="58">
        <f t="shared" si="122"/>
        <v>0</v>
      </c>
      <c r="FW40" s="58">
        <f t="shared" si="122"/>
        <v>0</v>
      </c>
      <c r="FX40" s="58">
        <f t="shared" si="122"/>
        <v>0</v>
      </c>
      <c r="FY40" s="58">
        <f t="shared" si="122"/>
        <v>0</v>
      </c>
      <c r="FZ40" s="58">
        <f t="shared" si="122"/>
        <v>0</v>
      </c>
      <c r="GA40" s="58">
        <f t="shared" si="122"/>
        <v>0</v>
      </c>
      <c r="GB40" s="58">
        <f t="shared" si="122"/>
        <v>0</v>
      </c>
      <c r="GC40" s="58">
        <f t="shared" si="122"/>
        <v>0</v>
      </c>
      <c r="GD40" s="58">
        <f t="shared" si="122"/>
        <v>0</v>
      </c>
      <c r="GE40" s="58">
        <f t="shared" si="122"/>
        <v>0</v>
      </c>
      <c r="GF40" s="58">
        <f t="shared" si="122"/>
        <v>0</v>
      </c>
      <c r="GG40" s="58">
        <f t="shared" si="122"/>
        <v>0</v>
      </c>
      <c r="GH40" s="58">
        <f t="shared" si="122"/>
        <v>0</v>
      </c>
      <c r="GI40" s="58">
        <f t="shared" si="122"/>
        <v>0</v>
      </c>
      <c r="GJ40" s="58">
        <f t="shared" si="122"/>
        <v>0</v>
      </c>
      <c r="GK40" s="58">
        <f t="shared" si="122"/>
        <v>0</v>
      </c>
      <c r="GL40" s="58">
        <f t="shared" si="122"/>
        <v>0</v>
      </c>
      <c r="GM40" s="58">
        <f t="shared" si="122"/>
        <v>0</v>
      </c>
      <c r="GN40" s="58">
        <f t="shared" si="122"/>
        <v>0</v>
      </c>
      <c r="GO40" s="58">
        <f t="shared" si="122"/>
        <v>0</v>
      </c>
      <c r="GP40" s="58">
        <f t="shared" si="122"/>
        <v>0</v>
      </c>
      <c r="GQ40" s="58">
        <f t="shared" si="122"/>
        <v>0</v>
      </c>
      <c r="GR40" s="58">
        <f t="shared" si="122"/>
        <v>0</v>
      </c>
      <c r="GS40" s="58">
        <f t="shared" si="122"/>
        <v>0</v>
      </c>
      <c r="GT40" s="58">
        <f t="shared" si="122"/>
        <v>0</v>
      </c>
      <c r="GU40" s="58">
        <f t="shared" si="122"/>
        <v>0</v>
      </c>
      <c r="GV40" s="58">
        <f t="shared" si="122"/>
        <v>0</v>
      </c>
      <c r="GW40" s="58">
        <f t="shared" si="122"/>
        <v>0</v>
      </c>
      <c r="GX40" s="58">
        <f t="shared" si="122"/>
        <v>0</v>
      </c>
      <c r="GY40" s="58">
        <f t="shared" si="122"/>
        <v>0</v>
      </c>
      <c r="GZ40" s="58">
        <f t="shared" si="122"/>
        <v>0</v>
      </c>
      <c r="HA40" s="58">
        <f t="shared" si="122"/>
        <v>0</v>
      </c>
      <c r="HB40" s="58">
        <f t="shared" si="122"/>
        <v>0</v>
      </c>
      <c r="HC40" s="58">
        <f t="shared" si="122"/>
        <v>0</v>
      </c>
      <c r="HD40" s="58">
        <f t="shared" si="122"/>
        <v>0</v>
      </c>
      <c r="HE40" s="58">
        <f t="shared" si="122"/>
        <v>0</v>
      </c>
      <c r="HF40" s="58">
        <f t="shared" si="122"/>
        <v>0</v>
      </c>
      <c r="HG40" s="58">
        <f t="shared" ref="HG40:IB40" si="123">+IF(HG7&gt;$E$9,-HF17*($E$20/12),0)</f>
        <v>0</v>
      </c>
      <c r="HH40" s="58">
        <f t="shared" si="123"/>
        <v>0</v>
      </c>
      <c r="HI40" s="58">
        <f t="shared" si="123"/>
        <v>0</v>
      </c>
      <c r="HJ40" s="58">
        <f t="shared" si="123"/>
        <v>0</v>
      </c>
      <c r="HK40" s="58">
        <f t="shared" si="123"/>
        <v>0</v>
      </c>
      <c r="HL40" s="58">
        <f t="shared" si="123"/>
        <v>0</v>
      </c>
      <c r="HM40" s="58">
        <f t="shared" si="123"/>
        <v>0</v>
      </c>
      <c r="HN40" s="58">
        <f t="shared" si="123"/>
        <v>0</v>
      </c>
      <c r="HO40" s="58">
        <f t="shared" si="123"/>
        <v>0</v>
      </c>
      <c r="HP40" s="58">
        <f t="shared" si="123"/>
        <v>0</v>
      </c>
      <c r="HQ40" s="58">
        <f t="shared" si="123"/>
        <v>0</v>
      </c>
      <c r="HR40" s="58">
        <f t="shared" si="123"/>
        <v>0</v>
      </c>
      <c r="HS40" s="58">
        <f t="shared" si="123"/>
        <v>0</v>
      </c>
      <c r="HT40" s="58">
        <f t="shared" si="123"/>
        <v>0</v>
      </c>
      <c r="HU40" s="58">
        <f t="shared" si="123"/>
        <v>0</v>
      </c>
      <c r="HV40" s="58">
        <f t="shared" si="123"/>
        <v>0</v>
      </c>
      <c r="HW40" s="58">
        <f t="shared" si="123"/>
        <v>0</v>
      </c>
      <c r="HX40" s="58">
        <f t="shared" si="123"/>
        <v>0</v>
      </c>
      <c r="HY40" s="58">
        <f t="shared" si="123"/>
        <v>0</v>
      </c>
      <c r="HZ40" s="58">
        <f t="shared" si="123"/>
        <v>0</v>
      </c>
      <c r="IA40" s="58">
        <f t="shared" si="123"/>
        <v>0</v>
      </c>
      <c r="IB40" s="58">
        <f t="shared" si="123"/>
        <v>0</v>
      </c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</row>
    <row r="41" spans="1:251" ht="18" customHeight="1" x14ac:dyDescent="0.3">
      <c r="D41" s="195" t="s">
        <v>80</v>
      </c>
      <c r="E41" s="196"/>
      <c r="F41" s="197"/>
      <c r="G41" s="25"/>
      <c r="H41" s="25"/>
      <c r="K41" s="198"/>
      <c r="L41" s="25"/>
      <c r="Q41" s="99"/>
      <c r="R41" s="25"/>
      <c r="S41" s="1"/>
      <c r="T41" s="136"/>
      <c r="U41" s="58"/>
      <c r="V41" s="199"/>
      <c r="W41" s="200"/>
      <c r="X41" s="200"/>
      <c r="Y41" s="200"/>
      <c r="Z41" s="200"/>
      <c r="AA41" s="200"/>
      <c r="AB41" s="200"/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/>
      <c r="AN41" s="200"/>
      <c r="AO41" s="200"/>
      <c r="AP41" s="200"/>
      <c r="AQ41" s="200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200"/>
      <c r="BE41" s="200"/>
      <c r="BF41" s="200"/>
      <c r="BG41" s="200"/>
      <c r="BH41" s="200"/>
      <c r="BI41" s="200"/>
      <c r="BJ41" s="200"/>
      <c r="BK41" s="200"/>
      <c r="BL41" s="200"/>
      <c r="BM41" s="200"/>
      <c r="BN41" s="200"/>
      <c r="BO41" s="200"/>
      <c r="BP41" s="200"/>
      <c r="BQ41" s="200"/>
      <c r="BR41" s="200"/>
      <c r="BS41" s="200"/>
      <c r="BT41" s="200"/>
      <c r="BU41" s="200"/>
      <c r="BV41" s="200"/>
      <c r="BW41" s="200"/>
      <c r="BX41" s="200"/>
      <c r="BY41" s="200"/>
      <c r="BZ41" s="200"/>
      <c r="CA41" s="200"/>
      <c r="CB41" s="200"/>
      <c r="CC41" s="200"/>
      <c r="CD41" s="200"/>
      <c r="CE41" s="200"/>
      <c r="CF41" s="200"/>
      <c r="CG41" s="200"/>
      <c r="CH41" s="200"/>
      <c r="CI41" s="200"/>
      <c r="CJ41" s="200"/>
      <c r="CK41" s="200"/>
      <c r="CL41" s="200"/>
      <c r="CM41" s="200"/>
      <c r="CN41" s="200"/>
      <c r="CO41" s="200"/>
      <c r="CP41" s="200"/>
      <c r="CQ41" s="200"/>
      <c r="CR41" s="200"/>
      <c r="CS41" s="200"/>
      <c r="CT41" s="200"/>
      <c r="CU41" s="200"/>
      <c r="CV41" s="200"/>
      <c r="CW41" s="200"/>
      <c r="CX41" s="200"/>
      <c r="CY41" s="200"/>
      <c r="CZ41" s="200"/>
      <c r="DA41" s="200"/>
      <c r="DB41" s="200"/>
      <c r="DC41" s="200"/>
      <c r="DD41" s="200"/>
      <c r="DE41" s="200"/>
      <c r="DF41" s="200"/>
      <c r="DG41" s="200"/>
      <c r="DH41" s="200"/>
      <c r="DI41" s="200"/>
      <c r="DJ41" s="200"/>
      <c r="DK41" s="200"/>
      <c r="DL41" s="200"/>
      <c r="DM41" s="200"/>
      <c r="DN41" s="200"/>
      <c r="DO41" s="200"/>
      <c r="DP41" s="200"/>
      <c r="DQ41" s="200"/>
      <c r="DR41" s="200"/>
      <c r="DS41" s="200"/>
      <c r="DT41" s="200"/>
      <c r="DU41" s="200"/>
      <c r="DV41" s="200"/>
      <c r="DW41" s="200"/>
      <c r="DX41" s="200"/>
      <c r="DY41" s="200"/>
      <c r="DZ41" s="200"/>
      <c r="EA41" s="200"/>
      <c r="EB41" s="200"/>
      <c r="EC41" s="200"/>
      <c r="ED41" s="200"/>
      <c r="EE41" s="200"/>
      <c r="EF41" s="200"/>
      <c r="EG41" s="200"/>
      <c r="EH41" s="200"/>
      <c r="EI41" s="200"/>
      <c r="EJ41" s="200"/>
      <c r="EK41" s="200"/>
      <c r="EL41" s="200"/>
      <c r="EM41" s="200"/>
      <c r="EN41" s="200"/>
      <c r="EO41" s="200"/>
      <c r="EP41" s="200"/>
      <c r="EQ41" s="200"/>
      <c r="ER41" s="200"/>
      <c r="ES41" s="200"/>
      <c r="ET41" s="200"/>
      <c r="EU41" s="200"/>
      <c r="EV41" s="200"/>
      <c r="EW41" s="200"/>
      <c r="EX41" s="200"/>
      <c r="EY41" s="200"/>
      <c r="EZ41" s="200"/>
      <c r="FA41" s="200"/>
      <c r="FB41" s="200"/>
      <c r="FC41" s="200"/>
      <c r="FD41" s="200"/>
      <c r="FE41" s="200"/>
      <c r="FF41" s="200"/>
      <c r="FG41" s="200"/>
      <c r="FH41" s="200"/>
      <c r="FI41" s="200"/>
      <c r="FJ41" s="200"/>
      <c r="FK41" s="200"/>
      <c r="FL41" s="200"/>
      <c r="FM41" s="200"/>
      <c r="FN41" s="200"/>
      <c r="FO41" s="200"/>
      <c r="FP41" s="200"/>
      <c r="FQ41" s="200"/>
      <c r="FR41" s="200"/>
      <c r="FS41" s="200"/>
      <c r="FT41" s="200"/>
      <c r="FU41" s="200"/>
      <c r="FV41" s="200"/>
      <c r="FW41" s="200"/>
      <c r="FX41" s="200"/>
      <c r="FY41" s="200"/>
      <c r="FZ41" s="200"/>
      <c r="GA41" s="200"/>
      <c r="GB41" s="200"/>
      <c r="GC41" s="200"/>
      <c r="GD41" s="200"/>
      <c r="GE41" s="200"/>
      <c r="GF41" s="200"/>
      <c r="GG41" s="200"/>
      <c r="GH41" s="200"/>
      <c r="GI41" s="200"/>
      <c r="GJ41" s="200"/>
      <c r="GK41" s="200"/>
      <c r="GL41" s="200"/>
      <c r="GM41" s="200"/>
      <c r="GN41" s="200"/>
      <c r="GO41" s="200"/>
      <c r="GP41" s="200"/>
      <c r="GQ41" s="200"/>
      <c r="GR41" s="200"/>
      <c r="GS41" s="200"/>
      <c r="GT41" s="200"/>
      <c r="GU41" s="200"/>
      <c r="GV41" s="200"/>
      <c r="GW41" s="200"/>
      <c r="GX41" s="200"/>
      <c r="GY41" s="200"/>
      <c r="GZ41" s="200"/>
      <c r="HA41" s="200"/>
      <c r="HB41" s="200"/>
      <c r="HC41" s="200"/>
      <c r="HD41" s="200"/>
      <c r="HE41" s="200"/>
      <c r="HF41" s="200"/>
      <c r="HG41" s="200"/>
      <c r="HH41" s="200"/>
      <c r="HI41" s="200"/>
      <c r="HJ41" s="200"/>
      <c r="HK41" s="200"/>
      <c r="HL41" s="200"/>
      <c r="HM41" s="200"/>
      <c r="HN41" s="200"/>
      <c r="HO41" s="200"/>
      <c r="HP41" s="200"/>
      <c r="HQ41" s="200"/>
      <c r="HR41" s="200"/>
      <c r="HS41" s="200"/>
      <c r="HT41" s="200"/>
      <c r="HU41" s="200"/>
      <c r="HV41" s="200"/>
      <c r="HW41" s="200"/>
      <c r="HX41" s="200"/>
      <c r="HY41" s="200"/>
      <c r="HZ41" s="200"/>
      <c r="IA41" s="200"/>
      <c r="IB41" s="200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</row>
    <row r="42" spans="1:251" ht="18" customHeight="1" thickBot="1" x14ac:dyDescent="0.35">
      <c r="H42" s="25"/>
      <c r="L42" s="25"/>
      <c r="Q42" s="192"/>
      <c r="R42" s="25"/>
      <c r="S42" s="1"/>
      <c r="T42" s="201" t="s">
        <v>81</v>
      </c>
      <c r="U42" s="58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2"/>
      <c r="CA42" s="202"/>
      <c r="CB42" s="202"/>
      <c r="CC42" s="202"/>
      <c r="CD42" s="202"/>
      <c r="CE42" s="202"/>
      <c r="CF42" s="202"/>
      <c r="CG42" s="202"/>
      <c r="CH42" s="202"/>
      <c r="CI42" s="202"/>
      <c r="CJ42" s="202"/>
      <c r="CK42" s="202"/>
      <c r="CL42" s="202"/>
      <c r="CM42" s="202"/>
      <c r="CN42" s="202"/>
      <c r="CO42" s="202"/>
      <c r="CP42" s="202"/>
      <c r="CQ42" s="202"/>
      <c r="CR42" s="202"/>
      <c r="CS42" s="202"/>
      <c r="CT42" s="202"/>
      <c r="CU42" s="202"/>
      <c r="CV42" s="202"/>
      <c r="CW42" s="202"/>
      <c r="CX42" s="202"/>
      <c r="CY42" s="202"/>
      <c r="CZ42" s="202"/>
      <c r="DA42" s="202"/>
      <c r="DB42" s="202"/>
      <c r="DC42" s="202"/>
      <c r="DD42" s="202"/>
      <c r="DE42" s="202"/>
      <c r="DF42" s="202"/>
      <c r="DG42" s="202"/>
      <c r="DH42" s="202"/>
      <c r="DI42" s="202"/>
      <c r="DJ42" s="202"/>
      <c r="DK42" s="202"/>
      <c r="DL42" s="202"/>
      <c r="DM42" s="202"/>
      <c r="DN42" s="202"/>
      <c r="DO42" s="202"/>
      <c r="DP42" s="202"/>
      <c r="DQ42" s="202"/>
      <c r="DR42" s="202"/>
      <c r="DS42" s="202"/>
      <c r="DT42" s="202"/>
      <c r="DU42" s="202"/>
      <c r="DV42" s="202"/>
      <c r="DW42" s="202"/>
      <c r="DX42" s="202"/>
      <c r="DY42" s="202"/>
      <c r="DZ42" s="202"/>
      <c r="EA42" s="202"/>
      <c r="EB42" s="202"/>
      <c r="EC42" s="202"/>
      <c r="ED42" s="202"/>
      <c r="EE42" s="202"/>
      <c r="EF42" s="202"/>
      <c r="EG42" s="202"/>
      <c r="EH42" s="202"/>
      <c r="EI42" s="202"/>
      <c r="EJ42" s="202"/>
      <c r="EK42" s="202"/>
      <c r="EL42" s="202"/>
      <c r="EM42" s="202"/>
      <c r="EN42" s="202"/>
      <c r="EO42" s="202"/>
      <c r="EP42" s="202"/>
      <c r="EQ42" s="202"/>
      <c r="ER42" s="202"/>
      <c r="ES42" s="202"/>
      <c r="ET42" s="202"/>
      <c r="EU42" s="202"/>
      <c r="EV42" s="202"/>
      <c r="EW42" s="202"/>
      <c r="EX42" s="202"/>
      <c r="EY42" s="202"/>
      <c r="EZ42" s="202"/>
      <c r="FA42" s="202"/>
      <c r="FB42" s="202"/>
      <c r="FC42" s="202"/>
      <c r="FD42" s="202"/>
      <c r="FE42" s="202"/>
      <c r="FF42" s="202"/>
      <c r="FG42" s="202"/>
      <c r="FH42" s="202"/>
      <c r="FI42" s="202"/>
      <c r="FJ42" s="202"/>
      <c r="FK42" s="202"/>
      <c r="FL42" s="202"/>
      <c r="FM42" s="202"/>
      <c r="FN42" s="202"/>
      <c r="FO42" s="202"/>
      <c r="FP42" s="202"/>
      <c r="FQ42" s="202"/>
      <c r="FR42" s="202"/>
      <c r="FS42" s="202"/>
      <c r="FT42" s="202"/>
      <c r="FU42" s="202"/>
      <c r="FV42" s="202"/>
      <c r="FW42" s="202"/>
      <c r="FX42" s="202"/>
      <c r="FY42" s="202"/>
      <c r="FZ42" s="202"/>
      <c r="GA42" s="202"/>
      <c r="GB42" s="202"/>
      <c r="GC42" s="202"/>
      <c r="GD42" s="202"/>
      <c r="GE42" s="202"/>
      <c r="GF42" s="202"/>
      <c r="GG42" s="202"/>
      <c r="GH42" s="202"/>
      <c r="GI42" s="202"/>
      <c r="GJ42" s="202"/>
      <c r="GK42" s="202"/>
      <c r="GL42" s="202"/>
      <c r="GM42" s="202"/>
      <c r="GN42" s="202"/>
      <c r="GO42" s="202"/>
      <c r="GP42" s="202"/>
      <c r="GQ42" s="202"/>
      <c r="GR42" s="202"/>
      <c r="GS42" s="202"/>
      <c r="GT42" s="202"/>
      <c r="GU42" s="202"/>
      <c r="GV42" s="202"/>
      <c r="GW42" s="202"/>
      <c r="GX42" s="202"/>
      <c r="GY42" s="202"/>
      <c r="GZ42" s="202"/>
      <c r="HA42" s="202"/>
      <c r="HB42" s="202"/>
      <c r="HC42" s="202"/>
      <c r="HD42" s="202"/>
      <c r="HE42" s="202"/>
      <c r="HF42" s="202"/>
      <c r="HG42" s="202"/>
      <c r="HH42" s="202"/>
      <c r="HI42" s="202"/>
      <c r="HJ42" s="202"/>
      <c r="HK42" s="202"/>
      <c r="HL42" s="202"/>
      <c r="HM42" s="202"/>
      <c r="HN42" s="202"/>
      <c r="HO42" s="202"/>
      <c r="HP42" s="202"/>
      <c r="HQ42" s="202"/>
      <c r="HR42" s="202"/>
      <c r="HS42" s="202"/>
      <c r="HT42" s="202"/>
      <c r="HU42" s="202"/>
      <c r="HV42" s="202"/>
      <c r="HW42" s="202"/>
      <c r="HX42" s="202"/>
      <c r="HY42" s="202"/>
      <c r="HZ42" s="202"/>
      <c r="IA42" s="202"/>
      <c r="IB42" s="202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</row>
    <row r="43" spans="1:251" ht="18" customHeight="1" x14ac:dyDescent="0.3">
      <c r="D43" s="203" t="s">
        <v>82</v>
      </c>
      <c r="E43" s="25"/>
      <c r="F43" s="25"/>
      <c r="H43" s="25"/>
      <c r="L43" s="25"/>
      <c r="Q43" s="25"/>
      <c r="R43" s="25"/>
      <c r="S43" s="1"/>
      <c r="T43" s="204" t="s">
        <v>83</v>
      </c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  <c r="BO43" s="205"/>
      <c r="BP43" s="205"/>
      <c r="BQ43" s="205"/>
      <c r="BR43" s="205"/>
      <c r="BS43" s="205"/>
      <c r="BT43" s="205"/>
      <c r="BU43" s="205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5"/>
      <c r="CN43" s="205"/>
      <c r="CO43" s="205"/>
      <c r="CP43" s="205"/>
      <c r="CQ43" s="205"/>
      <c r="CR43" s="205"/>
      <c r="CS43" s="205"/>
      <c r="CT43" s="205"/>
      <c r="CU43" s="205"/>
      <c r="CV43" s="205"/>
      <c r="CW43" s="205"/>
      <c r="CX43" s="205"/>
      <c r="CY43" s="205"/>
      <c r="CZ43" s="205"/>
      <c r="DA43" s="205"/>
      <c r="DB43" s="205"/>
      <c r="DC43" s="205"/>
      <c r="DD43" s="205"/>
      <c r="DE43" s="205"/>
      <c r="DF43" s="205"/>
      <c r="DG43" s="205"/>
      <c r="DH43" s="205"/>
      <c r="DI43" s="205"/>
      <c r="DJ43" s="205"/>
      <c r="DK43" s="205"/>
      <c r="DL43" s="205"/>
      <c r="DM43" s="205"/>
      <c r="DN43" s="205"/>
      <c r="DO43" s="205"/>
      <c r="DP43" s="205"/>
      <c r="DQ43" s="205"/>
      <c r="DR43" s="205"/>
      <c r="DS43" s="205"/>
      <c r="DT43" s="205"/>
      <c r="DU43" s="205"/>
      <c r="DV43" s="205"/>
      <c r="DW43" s="205"/>
      <c r="DX43" s="205"/>
      <c r="DY43" s="205"/>
      <c r="DZ43" s="205"/>
      <c r="EA43" s="205"/>
      <c r="EB43" s="205"/>
      <c r="EC43" s="205"/>
      <c r="ED43" s="205"/>
      <c r="EE43" s="205"/>
      <c r="EF43" s="205"/>
      <c r="EG43" s="205"/>
      <c r="EH43" s="205"/>
      <c r="EI43" s="205"/>
      <c r="EJ43" s="205"/>
      <c r="EK43" s="205"/>
      <c r="EL43" s="205"/>
      <c r="EM43" s="205"/>
      <c r="EN43" s="205"/>
      <c r="EO43" s="205"/>
      <c r="EP43" s="205"/>
      <c r="EQ43" s="205"/>
      <c r="ER43" s="205"/>
      <c r="ES43" s="205"/>
      <c r="ET43" s="205"/>
      <c r="EU43" s="205"/>
      <c r="EV43" s="205"/>
      <c r="EW43" s="205"/>
      <c r="EX43" s="205"/>
      <c r="EY43" s="205"/>
      <c r="EZ43" s="205"/>
      <c r="FA43" s="205"/>
      <c r="FB43" s="205"/>
      <c r="FC43" s="205"/>
      <c r="FD43" s="205"/>
      <c r="FE43" s="205"/>
      <c r="FF43" s="205"/>
      <c r="FG43" s="205"/>
      <c r="FH43" s="205"/>
      <c r="FI43" s="205"/>
      <c r="FJ43" s="205"/>
      <c r="FK43" s="205"/>
      <c r="FL43" s="205"/>
      <c r="FM43" s="205"/>
      <c r="FN43" s="205"/>
      <c r="FO43" s="205"/>
      <c r="FP43" s="205"/>
      <c r="FQ43" s="205"/>
      <c r="FR43" s="205"/>
      <c r="FS43" s="205"/>
      <c r="FT43" s="205"/>
      <c r="FU43" s="205"/>
      <c r="FV43" s="205"/>
      <c r="FW43" s="205"/>
      <c r="FX43" s="205"/>
      <c r="FY43" s="205"/>
      <c r="FZ43" s="205"/>
      <c r="GA43" s="205"/>
      <c r="GB43" s="205"/>
      <c r="GC43" s="205"/>
      <c r="GD43" s="205"/>
      <c r="GE43" s="205"/>
      <c r="GF43" s="205"/>
      <c r="GG43" s="205"/>
      <c r="GH43" s="205"/>
      <c r="GI43" s="205"/>
      <c r="GJ43" s="205"/>
      <c r="GK43" s="205"/>
      <c r="GL43" s="205"/>
      <c r="GM43" s="205"/>
      <c r="GN43" s="205"/>
      <c r="GO43" s="205"/>
      <c r="GP43" s="205"/>
      <c r="GQ43" s="205"/>
      <c r="GR43" s="205"/>
      <c r="GS43" s="205"/>
      <c r="GT43" s="205"/>
      <c r="GU43" s="205"/>
      <c r="GV43" s="205"/>
      <c r="GW43" s="205"/>
      <c r="GX43" s="205"/>
      <c r="GY43" s="205"/>
      <c r="GZ43" s="205"/>
      <c r="HA43" s="205"/>
      <c r="HB43" s="205"/>
      <c r="HC43" s="205"/>
      <c r="HD43" s="205"/>
      <c r="HE43" s="205"/>
      <c r="HF43" s="205"/>
      <c r="HG43" s="205"/>
      <c r="HH43" s="205"/>
      <c r="HI43" s="205"/>
      <c r="HJ43" s="205"/>
      <c r="HK43" s="205"/>
      <c r="HL43" s="205"/>
      <c r="HM43" s="205"/>
      <c r="HN43" s="205"/>
      <c r="HO43" s="205"/>
      <c r="HP43" s="205"/>
      <c r="HQ43" s="205"/>
      <c r="HR43" s="205"/>
      <c r="HS43" s="205"/>
      <c r="HT43" s="205"/>
      <c r="HU43" s="205"/>
      <c r="HV43" s="205"/>
      <c r="HW43" s="205"/>
      <c r="HX43" s="205"/>
      <c r="HY43" s="205"/>
      <c r="HZ43" s="205"/>
      <c r="IA43" s="205"/>
      <c r="IB43" s="206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</row>
    <row r="44" spans="1:251" ht="18" customHeight="1" x14ac:dyDescent="0.3">
      <c r="D44" s="207"/>
      <c r="E44" s="25"/>
      <c r="F44" s="208"/>
      <c r="H44" s="25"/>
      <c r="L44" s="165"/>
      <c r="M44" s="165"/>
      <c r="N44" s="165"/>
      <c r="O44" s="165"/>
      <c r="P44" s="165"/>
      <c r="Q44" s="25"/>
      <c r="R44" s="25"/>
      <c r="S44" s="1"/>
      <c r="T44" s="209" t="s">
        <v>84</v>
      </c>
      <c r="U44" s="210">
        <f>+IF(AND(U$7&gt;=$E$27,U$7&lt;=$E$11,U$7&gt;=$E$8),1,0)</f>
        <v>1</v>
      </c>
      <c r="V44" s="210">
        <f t="shared" ref="V44:CF44" si="124">+IF(AND(V$7&gt;=$E$27,V$7&lt;=$E$11,V$7&gt;=$E$8),1,0)</f>
        <v>1</v>
      </c>
      <c r="W44" s="210">
        <f t="shared" si="124"/>
        <v>1</v>
      </c>
      <c r="X44" s="210">
        <f t="shared" si="124"/>
        <v>1</v>
      </c>
      <c r="Y44" s="210">
        <f t="shared" si="124"/>
        <v>1</v>
      </c>
      <c r="Z44" s="210">
        <f t="shared" si="124"/>
        <v>1</v>
      </c>
      <c r="AA44" s="210">
        <f t="shared" si="124"/>
        <v>1</v>
      </c>
      <c r="AB44" s="210">
        <f t="shared" si="124"/>
        <v>1</v>
      </c>
      <c r="AC44" s="210">
        <f t="shared" si="124"/>
        <v>1</v>
      </c>
      <c r="AD44" s="210">
        <f t="shared" si="124"/>
        <v>1</v>
      </c>
      <c r="AE44" s="210">
        <f t="shared" si="124"/>
        <v>1</v>
      </c>
      <c r="AF44" s="210">
        <f t="shared" si="124"/>
        <v>1</v>
      </c>
      <c r="AG44" s="210">
        <f t="shared" si="124"/>
        <v>1</v>
      </c>
      <c r="AH44" s="210">
        <f t="shared" si="124"/>
        <v>1</v>
      </c>
      <c r="AI44" s="210">
        <f t="shared" si="124"/>
        <v>1</v>
      </c>
      <c r="AJ44" s="210">
        <f t="shared" si="124"/>
        <v>1</v>
      </c>
      <c r="AK44" s="210">
        <f t="shared" si="124"/>
        <v>1</v>
      </c>
      <c r="AL44" s="210">
        <f t="shared" si="124"/>
        <v>1</v>
      </c>
      <c r="AM44" s="210">
        <f t="shared" si="124"/>
        <v>1</v>
      </c>
      <c r="AN44" s="210">
        <f t="shared" si="124"/>
        <v>1</v>
      </c>
      <c r="AO44" s="210">
        <f t="shared" si="124"/>
        <v>1</v>
      </c>
      <c r="AP44" s="210">
        <f t="shared" si="124"/>
        <v>1</v>
      </c>
      <c r="AQ44" s="210">
        <f t="shared" si="124"/>
        <v>1</v>
      </c>
      <c r="AR44" s="210">
        <f t="shared" si="124"/>
        <v>1</v>
      </c>
      <c r="AS44" s="210">
        <f t="shared" si="124"/>
        <v>1</v>
      </c>
      <c r="AT44" s="210">
        <f t="shared" si="124"/>
        <v>1</v>
      </c>
      <c r="AU44" s="210">
        <f t="shared" si="124"/>
        <v>1</v>
      </c>
      <c r="AV44" s="210">
        <f t="shared" si="124"/>
        <v>1</v>
      </c>
      <c r="AW44" s="210">
        <f t="shared" si="124"/>
        <v>1</v>
      </c>
      <c r="AX44" s="210">
        <f t="shared" si="124"/>
        <v>1</v>
      </c>
      <c r="AY44" s="210">
        <f t="shared" si="124"/>
        <v>1</v>
      </c>
      <c r="AZ44" s="210">
        <f t="shared" si="124"/>
        <v>1</v>
      </c>
      <c r="BA44" s="210">
        <f t="shared" si="124"/>
        <v>1</v>
      </c>
      <c r="BB44" s="210">
        <f t="shared" si="124"/>
        <v>1</v>
      </c>
      <c r="BC44" s="210">
        <f t="shared" si="124"/>
        <v>1</v>
      </c>
      <c r="BD44" s="210">
        <f t="shared" si="124"/>
        <v>1</v>
      </c>
      <c r="BE44" s="210">
        <f t="shared" si="124"/>
        <v>1</v>
      </c>
      <c r="BF44" s="210">
        <f t="shared" si="124"/>
        <v>1</v>
      </c>
      <c r="BG44" s="210">
        <f t="shared" si="124"/>
        <v>1</v>
      </c>
      <c r="BH44" s="210">
        <f t="shared" si="124"/>
        <v>1</v>
      </c>
      <c r="BI44" s="210">
        <f t="shared" si="124"/>
        <v>1</v>
      </c>
      <c r="BJ44" s="210">
        <f t="shared" si="124"/>
        <v>1</v>
      </c>
      <c r="BK44" s="210">
        <f t="shared" si="124"/>
        <v>1</v>
      </c>
      <c r="BL44" s="210">
        <f t="shared" si="124"/>
        <v>1</v>
      </c>
      <c r="BM44" s="210">
        <f t="shared" si="124"/>
        <v>1</v>
      </c>
      <c r="BN44" s="210">
        <f t="shared" si="124"/>
        <v>1</v>
      </c>
      <c r="BO44" s="210">
        <f t="shared" si="124"/>
        <v>1</v>
      </c>
      <c r="BP44" s="210">
        <f t="shared" si="124"/>
        <v>1</v>
      </c>
      <c r="BQ44" s="210">
        <f t="shared" si="124"/>
        <v>1</v>
      </c>
      <c r="BR44" s="210">
        <f t="shared" si="124"/>
        <v>1</v>
      </c>
      <c r="BS44" s="210">
        <f t="shared" si="124"/>
        <v>1</v>
      </c>
      <c r="BT44" s="210">
        <f t="shared" si="124"/>
        <v>1</v>
      </c>
      <c r="BU44" s="210">
        <f t="shared" si="124"/>
        <v>1</v>
      </c>
      <c r="BV44" s="210">
        <f t="shared" si="124"/>
        <v>1</v>
      </c>
      <c r="BW44" s="210">
        <f>+IF(AND(BW$7&gt;=$E$27,BW$7&lt;=$E$11,BW$7&gt;=$E$8),1,0)</f>
        <v>1</v>
      </c>
      <c r="BX44" s="210">
        <f t="shared" si="124"/>
        <v>0</v>
      </c>
      <c r="BY44" s="210">
        <f t="shared" si="124"/>
        <v>0</v>
      </c>
      <c r="BZ44" s="210">
        <f t="shared" si="124"/>
        <v>0</v>
      </c>
      <c r="CA44" s="210">
        <f t="shared" si="124"/>
        <v>0</v>
      </c>
      <c r="CB44" s="210">
        <f t="shared" si="124"/>
        <v>0</v>
      </c>
      <c r="CC44" s="210">
        <f t="shared" si="124"/>
        <v>0</v>
      </c>
      <c r="CD44" s="210">
        <f t="shared" si="124"/>
        <v>0</v>
      </c>
      <c r="CE44" s="210">
        <f t="shared" si="124"/>
        <v>0</v>
      </c>
      <c r="CF44" s="210">
        <f t="shared" si="124"/>
        <v>0</v>
      </c>
      <c r="CG44" s="210">
        <f t="shared" ref="CG44:ER44" si="125">+IF(AND(CG$7&gt;=$E$27,CG$7&lt;=$E$11,CG$7&gt;=$E$8),1,0)</f>
        <v>0</v>
      </c>
      <c r="CH44" s="210">
        <f t="shared" si="125"/>
        <v>0</v>
      </c>
      <c r="CI44" s="210">
        <f t="shared" si="125"/>
        <v>0</v>
      </c>
      <c r="CJ44" s="210">
        <f t="shared" si="125"/>
        <v>0</v>
      </c>
      <c r="CK44" s="210">
        <f t="shared" si="125"/>
        <v>0</v>
      </c>
      <c r="CL44" s="210">
        <f t="shared" si="125"/>
        <v>0</v>
      </c>
      <c r="CM44" s="210">
        <f t="shared" si="125"/>
        <v>0</v>
      </c>
      <c r="CN44" s="210">
        <f t="shared" si="125"/>
        <v>0</v>
      </c>
      <c r="CO44" s="210">
        <f t="shared" si="125"/>
        <v>0</v>
      </c>
      <c r="CP44" s="210">
        <f t="shared" si="125"/>
        <v>0</v>
      </c>
      <c r="CQ44" s="210">
        <f t="shared" si="125"/>
        <v>0</v>
      </c>
      <c r="CR44" s="210">
        <f t="shared" si="125"/>
        <v>0</v>
      </c>
      <c r="CS44" s="210">
        <f t="shared" si="125"/>
        <v>0</v>
      </c>
      <c r="CT44" s="210">
        <f t="shared" si="125"/>
        <v>0</v>
      </c>
      <c r="CU44" s="210">
        <f t="shared" si="125"/>
        <v>0</v>
      </c>
      <c r="CV44" s="210">
        <f t="shared" si="125"/>
        <v>0</v>
      </c>
      <c r="CW44" s="210">
        <f t="shared" si="125"/>
        <v>0</v>
      </c>
      <c r="CX44" s="210">
        <f t="shared" si="125"/>
        <v>0</v>
      </c>
      <c r="CY44" s="210">
        <f t="shared" si="125"/>
        <v>0</v>
      </c>
      <c r="CZ44" s="210">
        <f t="shared" si="125"/>
        <v>0</v>
      </c>
      <c r="DA44" s="210">
        <f t="shared" si="125"/>
        <v>0</v>
      </c>
      <c r="DB44" s="210">
        <f t="shared" si="125"/>
        <v>0</v>
      </c>
      <c r="DC44" s="210">
        <f t="shared" si="125"/>
        <v>0</v>
      </c>
      <c r="DD44" s="210">
        <f t="shared" si="125"/>
        <v>0</v>
      </c>
      <c r="DE44" s="210">
        <f t="shared" si="125"/>
        <v>0</v>
      </c>
      <c r="DF44" s="210">
        <f t="shared" si="125"/>
        <v>0</v>
      </c>
      <c r="DG44" s="210">
        <f t="shared" si="125"/>
        <v>0</v>
      </c>
      <c r="DH44" s="210">
        <f t="shared" si="125"/>
        <v>0</v>
      </c>
      <c r="DI44" s="210">
        <f t="shared" si="125"/>
        <v>0</v>
      </c>
      <c r="DJ44" s="210">
        <f t="shared" si="125"/>
        <v>0</v>
      </c>
      <c r="DK44" s="210">
        <f t="shared" si="125"/>
        <v>0</v>
      </c>
      <c r="DL44" s="210">
        <f t="shared" si="125"/>
        <v>0</v>
      </c>
      <c r="DM44" s="210">
        <f t="shared" si="125"/>
        <v>0</v>
      </c>
      <c r="DN44" s="210">
        <f t="shared" si="125"/>
        <v>0</v>
      </c>
      <c r="DO44" s="210">
        <f t="shared" si="125"/>
        <v>0</v>
      </c>
      <c r="DP44" s="210">
        <f t="shared" si="125"/>
        <v>0</v>
      </c>
      <c r="DQ44" s="210">
        <f t="shared" si="125"/>
        <v>0</v>
      </c>
      <c r="DR44" s="210">
        <f t="shared" si="125"/>
        <v>0</v>
      </c>
      <c r="DS44" s="210">
        <f t="shared" si="125"/>
        <v>0</v>
      </c>
      <c r="DT44" s="210">
        <f t="shared" si="125"/>
        <v>0</v>
      </c>
      <c r="DU44" s="210">
        <f t="shared" si="125"/>
        <v>0</v>
      </c>
      <c r="DV44" s="210">
        <f t="shared" si="125"/>
        <v>0</v>
      </c>
      <c r="DW44" s="210">
        <f t="shared" si="125"/>
        <v>0</v>
      </c>
      <c r="DX44" s="210">
        <f t="shared" si="125"/>
        <v>0</v>
      </c>
      <c r="DY44" s="210">
        <f t="shared" si="125"/>
        <v>0</v>
      </c>
      <c r="DZ44" s="210">
        <f t="shared" si="125"/>
        <v>0</v>
      </c>
      <c r="EA44" s="210">
        <f t="shared" si="125"/>
        <v>0</v>
      </c>
      <c r="EB44" s="210">
        <f t="shared" si="125"/>
        <v>0</v>
      </c>
      <c r="EC44" s="210">
        <f t="shared" si="125"/>
        <v>0</v>
      </c>
      <c r="ED44" s="210">
        <f t="shared" si="125"/>
        <v>0</v>
      </c>
      <c r="EE44" s="210">
        <f t="shared" si="125"/>
        <v>0</v>
      </c>
      <c r="EF44" s="210">
        <f t="shared" si="125"/>
        <v>0</v>
      </c>
      <c r="EG44" s="210">
        <f t="shared" si="125"/>
        <v>0</v>
      </c>
      <c r="EH44" s="210">
        <f t="shared" si="125"/>
        <v>0</v>
      </c>
      <c r="EI44" s="210">
        <f t="shared" si="125"/>
        <v>0</v>
      </c>
      <c r="EJ44" s="210">
        <f t="shared" si="125"/>
        <v>0</v>
      </c>
      <c r="EK44" s="210">
        <f t="shared" si="125"/>
        <v>0</v>
      </c>
      <c r="EL44" s="210">
        <f t="shared" si="125"/>
        <v>0</v>
      </c>
      <c r="EM44" s="210">
        <f t="shared" si="125"/>
        <v>0</v>
      </c>
      <c r="EN44" s="210">
        <f t="shared" si="125"/>
        <v>0</v>
      </c>
      <c r="EO44" s="210">
        <f t="shared" si="125"/>
        <v>0</v>
      </c>
      <c r="EP44" s="210">
        <f t="shared" si="125"/>
        <v>0</v>
      </c>
      <c r="EQ44" s="210">
        <f t="shared" si="125"/>
        <v>0</v>
      </c>
      <c r="ER44" s="210">
        <f t="shared" si="125"/>
        <v>0</v>
      </c>
      <c r="ES44" s="210">
        <f t="shared" ref="ES44:HD44" si="126">+IF(AND(ES$7&gt;=$E$27,ES$7&lt;=$E$11,ES$7&gt;=$E$8),1,0)</f>
        <v>0</v>
      </c>
      <c r="ET44" s="210">
        <f t="shared" si="126"/>
        <v>0</v>
      </c>
      <c r="EU44" s="210">
        <f t="shared" si="126"/>
        <v>0</v>
      </c>
      <c r="EV44" s="210">
        <f t="shared" si="126"/>
        <v>0</v>
      </c>
      <c r="EW44" s="210">
        <f t="shared" si="126"/>
        <v>0</v>
      </c>
      <c r="EX44" s="210">
        <f t="shared" si="126"/>
        <v>0</v>
      </c>
      <c r="EY44" s="210">
        <f t="shared" si="126"/>
        <v>0</v>
      </c>
      <c r="EZ44" s="210">
        <f t="shared" si="126"/>
        <v>0</v>
      </c>
      <c r="FA44" s="210">
        <f t="shared" si="126"/>
        <v>0</v>
      </c>
      <c r="FB44" s="210">
        <f t="shared" si="126"/>
        <v>0</v>
      </c>
      <c r="FC44" s="210">
        <f t="shared" si="126"/>
        <v>0</v>
      </c>
      <c r="FD44" s="210">
        <f t="shared" si="126"/>
        <v>0</v>
      </c>
      <c r="FE44" s="210">
        <f t="shared" si="126"/>
        <v>0</v>
      </c>
      <c r="FF44" s="210">
        <f t="shared" si="126"/>
        <v>0</v>
      </c>
      <c r="FG44" s="210">
        <f t="shared" si="126"/>
        <v>0</v>
      </c>
      <c r="FH44" s="210">
        <f t="shared" si="126"/>
        <v>0</v>
      </c>
      <c r="FI44" s="210">
        <f t="shared" si="126"/>
        <v>0</v>
      </c>
      <c r="FJ44" s="210">
        <f t="shared" si="126"/>
        <v>0</v>
      </c>
      <c r="FK44" s="210">
        <f t="shared" si="126"/>
        <v>0</v>
      </c>
      <c r="FL44" s="210">
        <f t="shared" si="126"/>
        <v>0</v>
      </c>
      <c r="FM44" s="210">
        <f t="shared" si="126"/>
        <v>0</v>
      </c>
      <c r="FN44" s="210">
        <f t="shared" si="126"/>
        <v>0</v>
      </c>
      <c r="FO44" s="210">
        <f t="shared" si="126"/>
        <v>0</v>
      </c>
      <c r="FP44" s="210">
        <f t="shared" si="126"/>
        <v>0</v>
      </c>
      <c r="FQ44" s="210">
        <f t="shared" si="126"/>
        <v>0</v>
      </c>
      <c r="FR44" s="210">
        <f t="shared" si="126"/>
        <v>0</v>
      </c>
      <c r="FS44" s="210">
        <f t="shared" si="126"/>
        <v>0</v>
      </c>
      <c r="FT44" s="210">
        <f t="shared" si="126"/>
        <v>0</v>
      </c>
      <c r="FU44" s="210">
        <f t="shared" si="126"/>
        <v>0</v>
      </c>
      <c r="FV44" s="210">
        <f t="shared" si="126"/>
        <v>0</v>
      </c>
      <c r="FW44" s="210">
        <f t="shared" si="126"/>
        <v>0</v>
      </c>
      <c r="FX44" s="210">
        <f t="shared" si="126"/>
        <v>0</v>
      </c>
      <c r="FY44" s="210">
        <f t="shared" si="126"/>
        <v>0</v>
      </c>
      <c r="FZ44" s="210">
        <f t="shared" si="126"/>
        <v>0</v>
      </c>
      <c r="GA44" s="210">
        <f t="shared" si="126"/>
        <v>0</v>
      </c>
      <c r="GB44" s="210">
        <f t="shared" si="126"/>
        <v>0</v>
      </c>
      <c r="GC44" s="210">
        <f t="shared" si="126"/>
        <v>0</v>
      </c>
      <c r="GD44" s="210">
        <f t="shared" si="126"/>
        <v>0</v>
      </c>
      <c r="GE44" s="210">
        <f t="shared" si="126"/>
        <v>0</v>
      </c>
      <c r="GF44" s="210">
        <f t="shared" si="126"/>
        <v>0</v>
      </c>
      <c r="GG44" s="210">
        <f t="shared" si="126"/>
        <v>0</v>
      </c>
      <c r="GH44" s="210">
        <f t="shared" si="126"/>
        <v>0</v>
      </c>
      <c r="GI44" s="210">
        <f t="shared" si="126"/>
        <v>0</v>
      </c>
      <c r="GJ44" s="210">
        <f t="shared" si="126"/>
        <v>0</v>
      </c>
      <c r="GK44" s="210">
        <f t="shared" si="126"/>
        <v>0</v>
      </c>
      <c r="GL44" s="210">
        <f t="shared" si="126"/>
        <v>0</v>
      </c>
      <c r="GM44" s="210">
        <f t="shared" si="126"/>
        <v>0</v>
      </c>
      <c r="GN44" s="210">
        <f t="shared" si="126"/>
        <v>0</v>
      </c>
      <c r="GO44" s="210">
        <f t="shared" si="126"/>
        <v>0</v>
      </c>
      <c r="GP44" s="210">
        <f t="shared" si="126"/>
        <v>0</v>
      </c>
      <c r="GQ44" s="210">
        <f t="shared" si="126"/>
        <v>0</v>
      </c>
      <c r="GR44" s="210">
        <f t="shared" si="126"/>
        <v>0</v>
      </c>
      <c r="GS44" s="210">
        <f t="shared" si="126"/>
        <v>0</v>
      </c>
      <c r="GT44" s="210">
        <f t="shared" si="126"/>
        <v>0</v>
      </c>
      <c r="GU44" s="210">
        <f t="shared" si="126"/>
        <v>0</v>
      </c>
      <c r="GV44" s="210">
        <f t="shared" si="126"/>
        <v>0</v>
      </c>
      <c r="GW44" s="210">
        <f t="shared" si="126"/>
        <v>0</v>
      </c>
      <c r="GX44" s="210">
        <f t="shared" si="126"/>
        <v>0</v>
      </c>
      <c r="GY44" s="210">
        <f t="shared" si="126"/>
        <v>0</v>
      </c>
      <c r="GZ44" s="210">
        <f t="shared" si="126"/>
        <v>0</v>
      </c>
      <c r="HA44" s="210">
        <f t="shared" si="126"/>
        <v>0</v>
      </c>
      <c r="HB44" s="210">
        <f t="shared" si="126"/>
        <v>0</v>
      </c>
      <c r="HC44" s="210">
        <f t="shared" si="126"/>
        <v>0</v>
      </c>
      <c r="HD44" s="210">
        <f t="shared" si="126"/>
        <v>0</v>
      </c>
      <c r="HE44" s="210">
        <f t="shared" ref="HE44:IB44" si="127">+IF(AND(HE$7&gt;=$E$27,HE$7&lt;=$E$11,HE$7&gt;=$E$8),1,0)</f>
        <v>0</v>
      </c>
      <c r="HF44" s="210">
        <f t="shared" si="127"/>
        <v>0</v>
      </c>
      <c r="HG44" s="210">
        <f t="shared" si="127"/>
        <v>0</v>
      </c>
      <c r="HH44" s="210">
        <f t="shared" si="127"/>
        <v>0</v>
      </c>
      <c r="HI44" s="210">
        <f t="shared" si="127"/>
        <v>0</v>
      </c>
      <c r="HJ44" s="210">
        <f t="shared" si="127"/>
        <v>0</v>
      </c>
      <c r="HK44" s="210">
        <f t="shared" si="127"/>
        <v>0</v>
      </c>
      <c r="HL44" s="210">
        <f t="shared" si="127"/>
        <v>0</v>
      </c>
      <c r="HM44" s="210">
        <f t="shared" si="127"/>
        <v>0</v>
      </c>
      <c r="HN44" s="210">
        <f t="shared" si="127"/>
        <v>0</v>
      </c>
      <c r="HO44" s="210">
        <f t="shared" si="127"/>
        <v>0</v>
      </c>
      <c r="HP44" s="210">
        <f t="shared" si="127"/>
        <v>0</v>
      </c>
      <c r="HQ44" s="210">
        <f t="shared" si="127"/>
        <v>0</v>
      </c>
      <c r="HR44" s="210">
        <f t="shared" si="127"/>
        <v>0</v>
      </c>
      <c r="HS44" s="210">
        <f t="shared" si="127"/>
        <v>0</v>
      </c>
      <c r="HT44" s="210">
        <f t="shared" si="127"/>
        <v>0</v>
      </c>
      <c r="HU44" s="210">
        <f t="shared" si="127"/>
        <v>0</v>
      </c>
      <c r="HV44" s="210">
        <f t="shared" si="127"/>
        <v>0</v>
      </c>
      <c r="HW44" s="210">
        <f t="shared" si="127"/>
        <v>0</v>
      </c>
      <c r="HX44" s="210">
        <f t="shared" si="127"/>
        <v>0</v>
      </c>
      <c r="HY44" s="210">
        <f t="shared" si="127"/>
        <v>0</v>
      </c>
      <c r="HZ44" s="210">
        <f t="shared" si="127"/>
        <v>0</v>
      </c>
      <c r="IA44" s="210">
        <f t="shared" si="127"/>
        <v>0</v>
      </c>
      <c r="IB44" s="211">
        <f t="shared" si="127"/>
        <v>0</v>
      </c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</row>
    <row r="45" spans="1:251" ht="18" customHeight="1" x14ac:dyDescent="0.3">
      <c r="D45" s="212" t="s">
        <v>85</v>
      </c>
      <c r="E45" s="213"/>
      <c r="F45" s="214"/>
      <c r="G45" s="215" t="str">
        <f>(IF(IFERROR(SUM(G46:G58)&gt;0,1),"CHECK","OK"))</f>
        <v>OK</v>
      </c>
      <c r="H45" s="25"/>
      <c r="L45" s="135"/>
      <c r="M45" s="135"/>
      <c r="N45" s="135"/>
      <c r="O45" s="135"/>
      <c r="P45" s="135"/>
      <c r="Q45" s="216"/>
      <c r="R45" s="25"/>
      <c r="S45" s="1"/>
      <c r="T45" s="209" t="s">
        <v>86</v>
      </c>
      <c r="U45" s="58">
        <f t="shared" ref="U45:CF45" si="128">+IF(IF($E$8&gt;$E$29,$E$8,$E$29)=U$7,1,0)</f>
        <v>0</v>
      </c>
      <c r="V45" s="58">
        <f t="shared" si="128"/>
        <v>0</v>
      </c>
      <c r="W45" s="58">
        <f t="shared" si="128"/>
        <v>0</v>
      </c>
      <c r="X45" s="58">
        <f t="shared" si="128"/>
        <v>0</v>
      </c>
      <c r="Y45" s="58">
        <f t="shared" si="128"/>
        <v>0</v>
      </c>
      <c r="Z45" s="58">
        <f t="shared" si="128"/>
        <v>0</v>
      </c>
      <c r="AA45" s="58">
        <f t="shared" si="128"/>
        <v>0</v>
      </c>
      <c r="AB45" s="58">
        <f t="shared" si="128"/>
        <v>0</v>
      </c>
      <c r="AC45" s="58">
        <f t="shared" si="128"/>
        <v>0</v>
      </c>
      <c r="AD45" s="58">
        <f t="shared" si="128"/>
        <v>0</v>
      </c>
      <c r="AE45" s="58">
        <f t="shared" si="128"/>
        <v>0</v>
      </c>
      <c r="AF45" s="58">
        <f t="shared" si="128"/>
        <v>0</v>
      </c>
      <c r="AG45" s="58">
        <f t="shared" si="128"/>
        <v>0</v>
      </c>
      <c r="AH45" s="58">
        <f t="shared" si="128"/>
        <v>0</v>
      </c>
      <c r="AI45" s="58">
        <f t="shared" si="128"/>
        <v>0</v>
      </c>
      <c r="AJ45" s="58">
        <f t="shared" si="128"/>
        <v>0</v>
      </c>
      <c r="AK45" s="58">
        <f t="shared" si="128"/>
        <v>0</v>
      </c>
      <c r="AL45" s="58">
        <f t="shared" si="128"/>
        <v>0</v>
      </c>
      <c r="AM45" s="58">
        <f t="shared" si="128"/>
        <v>0</v>
      </c>
      <c r="AN45" s="58">
        <f t="shared" si="128"/>
        <v>0</v>
      </c>
      <c r="AO45" s="58">
        <f t="shared" si="128"/>
        <v>0</v>
      </c>
      <c r="AP45" s="58">
        <f t="shared" si="128"/>
        <v>0</v>
      </c>
      <c r="AQ45" s="58">
        <f t="shared" si="128"/>
        <v>0</v>
      </c>
      <c r="AR45" s="58">
        <f t="shared" si="128"/>
        <v>0</v>
      </c>
      <c r="AS45" s="58">
        <f t="shared" si="128"/>
        <v>0</v>
      </c>
      <c r="AT45" s="58">
        <f t="shared" si="128"/>
        <v>0</v>
      </c>
      <c r="AU45" s="58">
        <f t="shared" si="128"/>
        <v>0</v>
      </c>
      <c r="AV45" s="58">
        <f t="shared" si="128"/>
        <v>0</v>
      </c>
      <c r="AW45" s="58">
        <f t="shared" si="128"/>
        <v>0</v>
      </c>
      <c r="AX45" s="58">
        <f t="shared" si="128"/>
        <v>0</v>
      </c>
      <c r="AY45" s="58">
        <f t="shared" si="128"/>
        <v>0</v>
      </c>
      <c r="AZ45" s="58">
        <f t="shared" si="128"/>
        <v>0</v>
      </c>
      <c r="BA45" s="58">
        <f t="shared" si="128"/>
        <v>0</v>
      </c>
      <c r="BB45" s="58">
        <f t="shared" si="128"/>
        <v>0</v>
      </c>
      <c r="BC45" s="58">
        <f t="shared" si="128"/>
        <v>0</v>
      </c>
      <c r="BD45" s="58">
        <f t="shared" si="128"/>
        <v>0</v>
      </c>
      <c r="BE45" s="58">
        <f t="shared" si="128"/>
        <v>0</v>
      </c>
      <c r="BF45" s="58">
        <f t="shared" si="128"/>
        <v>0</v>
      </c>
      <c r="BG45" s="58">
        <f t="shared" si="128"/>
        <v>0</v>
      </c>
      <c r="BH45" s="58">
        <f t="shared" si="128"/>
        <v>0</v>
      </c>
      <c r="BI45" s="58">
        <f t="shared" si="128"/>
        <v>0</v>
      </c>
      <c r="BJ45" s="58">
        <f t="shared" si="128"/>
        <v>0</v>
      </c>
      <c r="BK45" s="58">
        <f t="shared" si="128"/>
        <v>0</v>
      </c>
      <c r="BL45" s="58">
        <f t="shared" si="128"/>
        <v>0</v>
      </c>
      <c r="BM45" s="58">
        <f t="shared" si="128"/>
        <v>0</v>
      </c>
      <c r="BN45" s="58">
        <f t="shared" si="128"/>
        <v>0</v>
      </c>
      <c r="BO45" s="58">
        <f t="shared" si="128"/>
        <v>0</v>
      </c>
      <c r="BP45" s="58">
        <f t="shared" si="128"/>
        <v>0</v>
      </c>
      <c r="BQ45" s="58">
        <f t="shared" si="128"/>
        <v>0</v>
      </c>
      <c r="BR45" s="58">
        <f t="shared" si="128"/>
        <v>0</v>
      </c>
      <c r="BS45" s="58">
        <f t="shared" si="128"/>
        <v>0</v>
      </c>
      <c r="BT45" s="58">
        <f t="shared" si="128"/>
        <v>0</v>
      </c>
      <c r="BU45" s="58">
        <f t="shared" si="128"/>
        <v>0</v>
      </c>
      <c r="BV45" s="58">
        <f t="shared" si="128"/>
        <v>0</v>
      </c>
      <c r="BW45" s="58">
        <f t="shared" si="128"/>
        <v>0</v>
      </c>
      <c r="BX45" s="58">
        <f t="shared" si="128"/>
        <v>0</v>
      </c>
      <c r="BY45" s="58">
        <f t="shared" si="128"/>
        <v>0</v>
      </c>
      <c r="BZ45" s="58">
        <f t="shared" si="128"/>
        <v>0</v>
      </c>
      <c r="CA45" s="58">
        <f t="shared" si="128"/>
        <v>0</v>
      </c>
      <c r="CB45" s="58">
        <f t="shared" si="128"/>
        <v>0</v>
      </c>
      <c r="CC45" s="58">
        <f t="shared" si="128"/>
        <v>0</v>
      </c>
      <c r="CD45" s="58">
        <f t="shared" si="128"/>
        <v>0</v>
      </c>
      <c r="CE45" s="58">
        <f t="shared" si="128"/>
        <v>0</v>
      </c>
      <c r="CF45" s="58">
        <f t="shared" si="128"/>
        <v>0</v>
      </c>
      <c r="CG45" s="58">
        <f t="shared" ref="CG45:ER45" si="129">+IF(IF($E$8&gt;$E$29,$E$8,$E$29)=CG$7,1,0)</f>
        <v>0</v>
      </c>
      <c r="CH45" s="58">
        <f t="shared" si="129"/>
        <v>0</v>
      </c>
      <c r="CI45" s="58">
        <f t="shared" si="129"/>
        <v>0</v>
      </c>
      <c r="CJ45" s="58">
        <f t="shared" si="129"/>
        <v>0</v>
      </c>
      <c r="CK45" s="58">
        <f t="shared" si="129"/>
        <v>0</v>
      </c>
      <c r="CL45" s="58">
        <f t="shared" si="129"/>
        <v>0</v>
      </c>
      <c r="CM45" s="58">
        <f t="shared" si="129"/>
        <v>0</v>
      </c>
      <c r="CN45" s="58">
        <f t="shared" si="129"/>
        <v>0</v>
      </c>
      <c r="CO45" s="58">
        <f t="shared" si="129"/>
        <v>0</v>
      </c>
      <c r="CP45" s="58">
        <f t="shared" si="129"/>
        <v>0</v>
      </c>
      <c r="CQ45" s="58">
        <f t="shared" si="129"/>
        <v>0</v>
      </c>
      <c r="CR45" s="58">
        <f t="shared" si="129"/>
        <v>0</v>
      </c>
      <c r="CS45" s="58">
        <f t="shared" si="129"/>
        <v>0</v>
      </c>
      <c r="CT45" s="58">
        <f t="shared" si="129"/>
        <v>0</v>
      </c>
      <c r="CU45" s="58">
        <f t="shared" si="129"/>
        <v>0</v>
      </c>
      <c r="CV45" s="58">
        <f t="shared" si="129"/>
        <v>0</v>
      </c>
      <c r="CW45" s="58">
        <f t="shared" si="129"/>
        <v>0</v>
      </c>
      <c r="CX45" s="58">
        <f t="shared" si="129"/>
        <v>0</v>
      </c>
      <c r="CY45" s="58">
        <f t="shared" si="129"/>
        <v>0</v>
      </c>
      <c r="CZ45" s="58">
        <f t="shared" si="129"/>
        <v>0</v>
      </c>
      <c r="DA45" s="58">
        <f t="shared" si="129"/>
        <v>0</v>
      </c>
      <c r="DB45" s="58">
        <f t="shared" si="129"/>
        <v>0</v>
      </c>
      <c r="DC45" s="58">
        <f t="shared" si="129"/>
        <v>0</v>
      </c>
      <c r="DD45" s="58">
        <f t="shared" si="129"/>
        <v>0</v>
      </c>
      <c r="DE45" s="58">
        <f t="shared" si="129"/>
        <v>0</v>
      </c>
      <c r="DF45" s="58">
        <f t="shared" si="129"/>
        <v>0</v>
      </c>
      <c r="DG45" s="58">
        <f t="shared" si="129"/>
        <v>0</v>
      </c>
      <c r="DH45" s="58">
        <f t="shared" si="129"/>
        <v>0</v>
      </c>
      <c r="DI45" s="58">
        <f t="shared" si="129"/>
        <v>0</v>
      </c>
      <c r="DJ45" s="58">
        <f t="shared" si="129"/>
        <v>0</v>
      </c>
      <c r="DK45" s="58">
        <f t="shared" si="129"/>
        <v>0</v>
      </c>
      <c r="DL45" s="58">
        <f t="shared" si="129"/>
        <v>0</v>
      </c>
      <c r="DM45" s="58">
        <f t="shared" si="129"/>
        <v>0</v>
      </c>
      <c r="DN45" s="58">
        <f t="shared" si="129"/>
        <v>0</v>
      </c>
      <c r="DO45" s="58">
        <f t="shared" si="129"/>
        <v>0</v>
      </c>
      <c r="DP45" s="58">
        <f t="shared" si="129"/>
        <v>0</v>
      </c>
      <c r="DQ45" s="58">
        <f t="shared" si="129"/>
        <v>0</v>
      </c>
      <c r="DR45" s="58">
        <f t="shared" si="129"/>
        <v>0</v>
      </c>
      <c r="DS45" s="58">
        <f t="shared" si="129"/>
        <v>0</v>
      </c>
      <c r="DT45" s="58">
        <f t="shared" si="129"/>
        <v>0</v>
      </c>
      <c r="DU45" s="58">
        <f t="shared" si="129"/>
        <v>0</v>
      </c>
      <c r="DV45" s="58">
        <f t="shared" si="129"/>
        <v>0</v>
      </c>
      <c r="DW45" s="58">
        <f t="shared" si="129"/>
        <v>0</v>
      </c>
      <c r="DX45" s="58">
        <f t="shared" si="129"/>
        <v>0</v>
      </c>
      <c r="DY45" s="58">
        <f t="shared" si="129"/>
        <v>0</v>
      </c>
      <c r="DZ45" s="58">
        <f t="shared" si="129"/>
        <v>0</v>
      </c>
      <c r="EA45" s="58">
        <f t="shared" si="129"/>
        <v>0</v>
      </c>
      <c r="EB45" s="58">
        <f t="shared" si="129"/>
        <v>0</v>
      </c>
      <c r="EC45" s="58">
        <f t="shared" si="129"/>
        <v>0</v>
      </c>
      <c r="ED45" s="58">
        <f t="shared" si="129"/>
        <v>0</v>
      </c>
      <c r="EE45" s="58">
        <f t="shared" si="129"/>
        <v>0</v>
      </c>
      <c r="EF45" s="58">
        <f t="shared" si="129"/>
        <v>0</v>
      </c>
      <c r="EG45" s="58">
        <f t="shared" si="129"/>
        <v>0</v>
      </c>
      <c r="EH45" s="58">
        <f t="shared" si="129"/>
        <v>0</v>
      </c>
      <c r="EI45" s="58">
        <f t="shared" si="129"/>
        <v>0</v>
      </c>
      <c r="EJ45" s="58">
        <f t="shared" si="129"/>
        <v>0</v>
      </c>
      <c r="EK45" s="58">
        <f t="shared" si="129"/>
        <v>0</v>
      </c>
      <c r="EL45" s="58">
        <f t="shared" si="129"/>
        <v>0</v>
      </c>
      <c r="EM45" s="58">
        <f t="shared" si="129"/>
        <v>0</v>
      </c>
      <c r="EN45" s="58">
        <f t="shared" si="129"/>
        <v>0</v>
      </c>
      <c r="EO45" s="58">
        <f t="shared" si="129"/>
        <v>0</v>
      </c>
      <c r="EP45" s="58">
        <f t="shared" si="129"/>
        <v>0</v>
      </c>
      <c r="EQ45" s="58">
        <f t="shared" si="129"/>
        <v>0</v>
      </c>
      <c r="ER45" s="58">
        <f t="shared" si="129"/>
        <v>0</v>
      </c>
      <c r="ES45" s="58">
        <f t="shared" ref="ES45:HD45" si="130">+IF(IF($E$8&gt;$E$29,$E$8,$E$29)=ES$7,1,0)</f>
        <v>0</v>
      </c>
      <c r="ET45" s="58">
        <f t="shared" si="130"/>
        <v>0</v>
      </c>
      <c r="EU45" s="58">
        <f t="shared" si="130"/>
        <v>0</v>
      </c>
      <c r="EV45" s="58">
        <f t="shared" si="130"/>
        <v>0</v>
      </c>
      <c r="EW45" s="58">
        <f t="shared" si="130"/>
        <v>0</v>
      </c>
      <c r="EX45" s="58">
        <f t="shared" si="130"/>
        <v>0</v>
      </c>
      <c r="EY45" s="58">
        <f t="shared" si="130"/>
        <v>0</v>
      </c>
      <c r="EZ45" s="58">
        <f t="shared" si="130"/>
        <v>0</v>
      </c>
      <c r="FA45" s="58">
        <f t="shared" si="130"/>
        <v>0</v>
      </c>
      <c r="FB45" s="58">
        <f t="shared" si="130"/>
        <v>0</v>
      </c>
      <c r="FC45" s="58">
        <f t="shared" si="130"/>
        <v>0</v>
      </c>
      <c r="FD45" s="58">
        <f t="shared" si="130"/>
        <v>0</v>
      </c>
      <c r="FE45" s="58">
        <f t="shared" si="130"/>
        <v>0</v>
      </c>
      <c r="FF45" s="58">
        <f t="shared" si="130"/>
        <v>0</v>
      </c>
      <c r="FG45" s="58">
        <f t="shared" si="130"/>
        <v>0</v>
      </c>
      <c r="FH45" s="58">
        <f t="shared" si="130"/>
        <v>0</v>
      </c>
      <c r="FI45" s="58">
        <f t="shared" si="130"/>
        <v>0</v>
      </c>
      <c r="FJ45" s="58">
        <f t="shared" si="130"/>
        <v>0</v>
      </c>
      <c r="FK45" s="58">
        <f t="shared" si="130"/>
        <v>0</v>
      </c>
      <c r="FL45" s="58">
        <f t="shared" si="130"/>
        <v>0</v>
      </c>
      <c r="FM45" s="58">
        <f t="shared" si="130"/>
        <v>0</v>
      </c>
      <c r="FN45" s="58">
        <f t="shared" si="130"/>
        <v>0</v>
      </c>
      <c r="FO45" s="58">
        <f t="shared" si="130"/>
        <v>0</v>
      </c>
      <c r="FP45" s="58">
        <f t="shared" si="130"/>
        <v>0</v>
      </c>
      <c r="FQ45" s="58">
        <f t="shared" si="130"/>
        <v>0</v>
      </c>
      <c r="FR45" s="58">
        <f t="shared" si="130"/>
        <v>0</v>
      </c>
      <c r="FS45" s="58">
        <f t="shared" si="130"/>
        <v>0</v>
      </c>
      <c r="FT45" s="58">
        <f t="shared" si="130"/>
        <v>0</v>
      </c>
      <c r="FU45" s="58">
        <f t="shared" si="130"/>
        <v>0</v>
      </c>
      <c r="FV45" s="58">
        <f t="shared" si="130"/>
        <v>0</v>
      </c>
      <c r="FW45" s="58">
        <f t="shared" si="130"/>
        <v>0</v>
      </c>
      <c r="FX45" s="58">
        <f t="shared" si="130"/>
        <v>0</v>
      </c>
      <c r="FY45" s="58">
        <f t="shared" si="130"/>
        <v>0</v>
      </c>
      <c r="FZ45" s="58">
        <f t="shared" si="130"/>
        <v>0</v>
      </c>
      <c r="GA45" s="58">
        <f t="shared" si="130"/>
        <v>0</v>
      </c>
      <c r="GB45" s="58">
        <f t="shared" si="130"/>
        <v>0</v>
      </c>
      <c r="GC45" s="58">
        <f t="shared" si="130"/>
        <v>0</v>
      </c>
      <c r="GD45" s="58">
        <f t="shared" si="130"/>
        <v>0</v>
      </c>
      <c r="GE45" s="58">
        <f t="shared" si="130"/>
        <v>0</v>
      </c>
      <c r="GF45" s="58">
        <f t="shared" si="130"/>
        <v>0</v>
      </c>
      <c r="GG45" s="58">
        <f t="shared" si="130"/>
        <v>0</v>
      </c>
      <c r="GH45" s="58">
        <f t="shared" si="130"/>
        <v>0</v>
      </c>
      <c r="GI45" s="58">
        <f t="shared" si="130"/>
        <v>0</v>
      </c>
      <c r="GJ45" s="58">
        <f t="shared" si="130"/>
        <v>0</v>
      </c>
      <c r="GK45" s="58">
        <f t="shared" si="130"/>
        <v>0</v>
      </c>
      <c r="GL45" s="58">
        <f t="shared" si="130"/>
        <v>0</v>
      </c>
      <c r="GM45" s="58">
        <f t="shared" si="130"/>
        <v>0</v>
      </c>
      <c r="GN45" s="58">
        <f t="shared" si="130"/>
        <v>0</v>
      </c>
      <c r="GO45" s="58">
        <f t="shared" si="130"/>
        <v>0</v>
      </c>
      <c r="GP45" s="58">
        <f t="shared" si="130"/>
        <v>0</v>
      </c>
      <c r="GQ45" s="58">
        <f t="shared" si="130"/>
        <v>0</v>
      </c>
      <c r="GR45" s="58">
        <f t="shared" si="130"/>
        <v>0</v>
      </c>
      <c r="GS45" s="58">
        <f t="shared" si="130"/>
        <v>0</v>
      </c>
      <c r="GT45" s="58">
        <f t="shared" si="130"/>
        <v>0</v>
      </c>
      <c r="GU45" s="58">
        <f t="shared" si="130"/>
        <v>0</v>
      </c>
      <c r="GV45" s="58">
        <f t="shared" si="130"/>
        <v>0</v>
      </c>
      <c r="GW45" s="58">
        <f t="shared" si="130"/>
        <v>0</v>
      </c>
      <c r="GX45" s="58">
        <f t="shared" si="130"/>
        <v>0</v>
      </c>
      <c r="GY45" s="58">
        <f t="shared" si="130"/>
        <v>0</v>
      </c>
      <c r="GZ45" s="58">
        <f t="shared" si="130"/>
        <v>0</v>
      </c>
      <c r="HA45" s="58">
        <f t="shared" si="130"/>
        <v>0</v>
      </c>
      <c r="HB45" s="58">
        <f t="shared" si="130"/>
        <v>0</v>
      </c>
      <c r="HC45" s="58">
        <f t="shared" si="130"/>
        <v>0</v>
      </c>
      <c r="HD45" s="58">
        <f t="shared" si="130"/>
        <v>0</v>
      </c>
      <c r="HE45" s="58">
        <f t="shared" ref="HE45:IB45" si="131">+IF(IF($E$8&gt;$E$29,$E$8,$E$29)=HE$7,1,0)</f>
        <v>0</v>
      </c>
      <c r="HF45" s="58">
        <f t="shared" si="131"/>
        <v>0</v>
      </c>
      <c r="HG45" s="58">
        <f t="shared" si="131"/>
        <v>0</v>
      </c>
      <c r="HH45" s="58">
        <f t="shared" si="131"/>
        <v>0</v>
      </c>
      <c r="HI45" s="58">
        <f t="shared" si="131"/>
        <v>0</v>
      </c>
      <c r="HJ45" s="58">
        <f t="shared" si="131"/>
        <v>0</v>
      </c>
      <c r="HK45" s="58">
        <f t="shared" si="131"/>
        <v>0</v>
      </c>
      <c r="HL45" s="58">
        <f t="shared" si="131"/>
        <v>0</v>
      </c>
      <c r="HM45" s="58">
        <f t="shared" si="131"/>
        <v>0</v>
      </c>
      <c r="HN45" s="58">
        <f t="shared" si="131"/>
        <v>0</v>
      </c>
      <c r="HO45" s="58">
        <f t="shared" si="131"/>
        <v>0</v>
      </c>
      <c r="HP45" s="58">
        <f t="shared" si="131"/>
        <v>0</v>
      </c>
      <c r="HQ45" s="58">
        <f t="shared" si="131"/>
        <v>0</v>
      </c>
      <c r="HR45" s="58">
        <f t="shared" si="131"/>
        <v>0</v>
      </c>
      <c r="HS45" s="58">
        <f t="shared" si="131"/>
        <v>0</v>
      </c>
      <c r="HT45" s="58">
        <f t="shared" si="131"/>
        <v>0</v>
      </c>
      <c r="HU45" s="58">
        <f t="shared" si="131"/>
        <v>0</v>
      </c>
      <c r="HV45" s="58">
        <f t="shared" si="131"/>
        <v>0</v>
      </c>
      <c r="HW45" s="58">
        <f t="shared" si="131"/>
        <v>0</v>
      </c>
      <c r="HX45" s="58">
        <f t="shared" si="131"/>
        <v>0</v>
      </c>
      <c r="HY45" s="58">
        <f t="shared" si="131"/>
        <v>0</v>
      </c>
      <c r="HZ45" s="58">
        <f t="shared" si="131"/>
        <v>0</v>
      </c>
      <c r="IA45" s="58">
        <f t="shared" si="131"/>
        <v>0</v>
      </c>
      <c r="IB45" s="217">
        <f t="shared" si="131"/>
        <v>0</v>
      </c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</row>
    <row r="46" spans="1:251" ht="18" customHeight="1" thickBot="1" x14ac:dyDescent="0.35">
      <c r="A46" s="218" t="s">
        <v>87</v>
      </c>
      <c r="D46" s="219" t="s">
        <v>88</v>
      </c>
      <c r="E46" s="42"/>
      <c r="F46" s="42"/>
      <c r="G46" s="220">
        <f>IF(E9&lt;=E10,0,1)</f>
        <v>0</v>
      </c>
      <c r="H46" s="25"/>
      <c r="L46" s="135"/>
      <c r="M46" s="135"/>
      <c r="N46" s="135"/>
      <c r="O46" s="135"/>
      <c r="P46" s="135"/>
      <c r="Q46" s="216"/>
      <c r="R46" s="25"/>
      <c r="S46" s="1"/>
      <c r="T46" s="221" t="s">
        <v>89</v>
      </c>
      <c r="U46" s="222">
        <f>IF(U$45=1,IF($E$28&gt;0,$E$28,($E$12*$E$19)/(ROUND(DATEDIF(U6,$E$9,"d")/(365/12),0))),IF(AND(SUM(T$45:$U45)&gt;=1,U6&lt;=$E$9),T$12/(ROUND(DATEDIF(U6,$E$9,"d")/(365/12),0)),0))</f>
        <v>0</v>
      </c>
      <c r="V46" s="222">
        <f>IF(V$45=1,IF($E$28&gt;0,$E$28,($E$12*$E$19)/(ROUND(DATEDIF(V6,$E$9,"d")/(365/12),0))),IF(AND(SUM(U$45:$U45)&gt;=1,V6&lt;=$E$9),U$12/(ROUND(DATEDIF(V6,$E$9,"d")/(365/12),0)),0))</f>
        <v>0</v>
      </c>
      <c r="W46" s="222">
        <f>IF(W$45=1,IF($E$28&gt;0,$E$28,($E$12*$E$19)/(ROUND(DATEDIF(W6,$E$9,"d")/(365/12),0))),IF(AND(SUM($U$45:V45)&gt;=1,W6&lt;=$E$9),V$12/(ROUND(DATEDIF(W6,$E$9,"d")/(365/12),0)),0))</f>
        <v>0</v>
      </c>
      <c r="X46" s="222">
        <f>IF(X$45=1,IF($E$28&gt;0,$E$28,($E$12*$E$19)/(ROUND(DATEDIF(X6,$E$9,"d")/(365/12),0))),IF(AND(SUM($U$45:W45)&gt;=1,X6&lt;=$E$9),W$12/(ROUND(DATEDIF(X6,$E$9,"d")/(365/12),0)),0))</f>
        <v>0</v>
      </c>
      <c r="Y46" s="222">
        <f>IF(Y$45=1,IF($E$28&gt;0,$E$28,($E$12*$E$19)/(ROUND(DATEDIF(Y6,$E$9,"d")/(365/12),0))),IF(AND(SUM($U$45:X45)&gt;=1,Y6&lt;=$E$9),X$12/(ROUND(DATEDIF(Y6,$E$9,"d")/(365/12),0)),0))</f>
        <v>0</v>
      </c>
      <c r="Z46" s="222">
        <f>IF(Z$45=1,IF($E$28&gt;0,$E$28,($E$12*$E$19)/(ROUND(DATEDIF(Z6,$E$9,"d")/(365/12),0))),IF(AND(SUM($U$45:Y45)&gt;=1,Z6&lt;=$E$9),Y$12/(ROUND(DATEDIF(Z6,$E$9,"d")/(365/12),0)),0))</f>
        <v>0</v>
      </c>
      <c r="AA46" s="222">
        <f>IF(AA$45=1,IF($E$28&gt;0,$E$28,($E$12*$E$19)/(ROUND(DATEDIF(AA6,$E$9,"d")/(365/12),0))),IF(AND(SUM($U$45:Z45)&gt;=1,AA6&lt;=$E$9),Z$12/(ROUND(DATEDIF(AA6,$E$9,"d")/(365/12),0)),0))</f>
        <v>0</v>
      </c>
      <c r="AB46" s="222">
        <f>IF(AB$45=1,IF($E$28&gt;0,$E$28,($E$12*$E$19)/(ROUND(DATEDIF(AB6,$E$9,"d")/(365/12),0))),IF(AND(SUM($U$45:AA45)&gt;=1,AB6&lt;=$E$9),AA$12/(ROUND(DATEDIF(AB6,$E$9,"d")/(365/12),0)),0))</f>
        <v>0</v>
      </c>
      <c r="AC46" s="222">
        <f>IF(AC$45=1,IF($E$28&gt;0,$E$28,($E$12*$E$19)/(ROUND(DATEDIF(AC6,$E$9,"d")/(365/12),0))),IF(AND(SUM($U$45:AB45)&gt;=1,AC6&lt;=$E$9),AB$12/(ROUND(DATEDIF(AC6,$E$9,"d")/(365/12),0)),0))</f>
        <v>0</v>
      </c>
      <c r="AD46" s="222">
        <f>IF(AD$45=1,IF($E$28&gt;0,$E$28,($E$12*$E$19)/(ROUND(DATEDIF(AD6,$E$9,"d")/(365/12),0))),IF(AND(SUM($U$45:AC45)&gt;=1,AD6&lt;=$E$9),AC$12/(ROUND(DATEDIF(AD6,$E$9,"d")/(365/12),0)),0))</f>
        <v>0</v>
      </c>
      <c r="AE46" s="222">
        <f>IF(AE$45=1,IF($E$28&gt;0,$E$28,($E$12*$E$19)/(ROUND(DATEDIF(AE6,$E$9,"d")/(365/12),0))),IF(AND(SUM($U$45:AD45)&gt;=1,AE6&lt;=$E$9),AD$12/(ROUND(DATEDIF(AE6,$E$9,"d")/(365/12),0)),0))</f>
        <v>0</v>
      </c>
      <c r="AF46" s="222">
        <f>IF(AF$45=1,IF($E$28&gt;0,$E$28,($E$12*$E$19)/(ROUND(DATEDIF(AF6,$E$9,"d")/(365/12),0))),IF(AND(SUM($U$45:AE45)&gt;=1,AF6&lt;=$E$9),AE$12/(ROUND(DATEDIF(AF6,$E$9,"d")/(365/12),0)),0))</f>
        <v>0</v>
      </c>
      <c r="AG46" s="222">
        <f>IF(AG$45=1,IF($E$28&gt;0,$E$28,($E$12*$E$19)/(ROUND(DATEDIF(AG6,$E$9,"d")/(365/12),0))),IF(AND(SUM($U$45:AF45)&gt;=1,AG6&lt;=$E$9),AF$12/(ROUND(DATEDIF(AG6,$E$9,"d")/(365/12),0)),0))</f>
        <v>0</v>
      </c>
      <c r="AH46" s="222">
        <f>IF(AH$45=1,IF($E$28&gt;0,$E$28,($E$12*$E$19)/(ROUND(DATEDIF(AH6,$E$9,"d")/(365/12),0))),IF(AND(SUM($U$45:AG45)&gt;=1,AH6&lt;=$E$9),AG$12/(ROUND(DATEDIF(AH6,$E$9,"d")/(365/12),0)),0))</f>
        <v>0</v>
      </c>
      <c r="AI46" s="222">
        <f>IF(AI$45=1,IF($E$28&gt;0,$E$28,($E$12*$E$19)/(ROUND(DATEDIF(AI6,$E$9,"d")/(365/12),0))),IF(AND(SUM($U$45:AH45)&gt;=1,AI6&lt;=$E$9),AH$12/(ROUND(DATEDIF(AI6,$E$9,"d")/(365/12),0)),0))</f>
        <v>0</v>
      </c>
      <c r="AJ46" s="222">
        <f>IF(AJ$45=1,IF($E$28&gt;0,$E$28,($E$12*$E$19)/(ROUND(DATEDIF(AJ6,$E$9,"d")/(365/12),0))),IF(AND(SUM($U$45:AI45)&gt;=1,AJ6&lt;=$E$9),AI$12/(ROUND(DATEDIF(AJ6,$E$9,"d")/(365/12),0)),0))</f>
        <v>0</v>
      </c>
      <c r="AK46" s="222">
        <f>IF(AK$45=1,IF($E$28&gt;0,$E$28,($E$12*$E$19)/(ROUND(DATEDIF(AK6,$E$9,"d")/(365/12),0))),IF(AND(SUM($U$45:AJ45)&gt;=1,AK6&lt;=$E$9),AJ$12/(ROUND(DATEDIF(AK6,$E$9,"d")/(365/12),0)),0))</f>
        <v>0</v>
      </c>
      <c r="AL46" s="222">
        <f>IF(AL$45=1,IF($E$28&gt;0,$E$28,($E$12*$E$19)/(ROUND(DATEDIF(AL6,$E$9,"d")/(365/12),0))),IF(AND(SUM($U$45:AK45)&gt;=1,AL6&lt;=$E$9),AK$12/(ROUND(DATEDIF(AL6,$E$9,"d")/(365/12),0)),0))</f>
        <v>0</v>
      </c>
      <c r="AM46" s="222">
        <f>IF(AM$45=1,IF($E$28&gt;0,$E$28,($E$12*$E$19)/(ROUND(DATEDIF(AM6,$E$9,"d")/(365/12),0))),IF(AND(SUM($U$45:AL45)&gt;=1,AM6&lt;=$E$9),AL$12/(ROUND(DATEDIF(AM6,$E$9,"d")/(365/12),0)),0))</f>
        <v>0</v>
      </c>
      <c r="AN46" s="222">
        <f>IF(AN$45=1,IF($E$28&gt;0,$E$28,($E$12*$E$19)/(ROUND(DATEDIF(AN6,$E$9,"d")/(365/12),0))),IF(AND(SUM($U$45:AM45)&gt;=1,AN6&lt;=$E$9),AM$12/(ROUND(DATEDIF(AN6,$E$9,"d")/(365/12),0)),0))</f>
        <v>0</v>
      </c>
      <c r="AO46" s="222">
        <f>IF(AO$45=1,IF($E$28&gt;0,$E$28,($E$12*$E$19)/(ROUND(DATEDIF(AO6,$E$9,"d")/(365/12),0))),IF(AND(SUM($U$45:AN45)&gt;=1,AO6&lt;=$E$9),AN$12/(ROUND(DATEDIF(AO6,$E$9,"d")/(365/12),0)),0))</f>
        <v>0</v>
      </c>
      <c r="AP46" s="222">
        <f>IF(AP$45=1,IF($E$28&gt;0,$E$28,($E$12*$E$19)/(ROUND(DATEDIF(AP6,$E$9,"d")/(365/12),0))),IF(AND(SUM($U$45:AO45)&gt;=1,AP6&lt;=$E$9),AO$12/(ROUND(DATEDIF(AP6,$E$9,"d")/(365/12),0)),0))</f>
        <v>0</v>
      </c>
      <c r="AQ46" s="222">
        <f>IF(AQ$45=1,IF($E$28&gt;0,$E$28,($E$12*$E$19)/(ROUND(DATEDIF(AQ6,$E$9,"d")/(365/12),0))),IF(AND(SUM($U$45:AP45)&gt;=1,AQ6&lt;=$E$9),AP$12/(ROUND(DATEDIF(AQ6,$E$9,"d")/(365/12),0)),0))</f>
        <v>0</v>
      </c>
      <c r="AR46" s="222">
        <f>IF(AR$45=1,IF($E$28&gt;0,$E$28,($E$12*$E$19)/(ROUND(DATEDIF(AR6,$E$9,"d")/(365/12),0))),IF(AND(SUM($U$45:AQ45)&gt;=1,AR6&lt;=$E$9),AQ$12/(ROUND(DATEDIF(AR6,$E$9,"d")/(365/12),0)),0))</f>
        <v>0</v>
      </c>
      <c r="AS46" s="222">
        <f>IF(AS$45=1,IF($E$28&gt;0,$E$28,($E$12*$E$19)/(ROUND(DATEDIF(AS6,$E$9,"d")/(365/12),0))),IF(AND(SUM($U$45:AR45)&gt;=1,AS6&lt;=$E$9),AR$12/(ROUND(DATEDIF(AS6,$E$9,"d")/(365/12),0)),0))</f>
        <v>0</v>
      </c>
      <c r="AT46" s="222">
        <f>IF(AT$45=1,IF($E$28&gt;0,$E$28,($E$12*$E$19)/(ROUND(DATEDIF(AT6,$E$9,"d")/(365/12),0))),IF(AND(SUM($U$45:AS45)&gt;=1,AT6&lt;=$E$9),AS$12/(ROUND(DATEDIF(AT6,$E$9,"d")/(365/12),0)),0))</f>
        <v>0</v>
      </c>
      <c r="AU46" s="222">
        <f>IF(AU$45=1,IF($E$28&gt;0,$E$28,($E$12*$E$19)/(ROUND(DATEDIF(AU6,$E$9,"d")/(365/12),0))),IF(AND(SUM($U$45:AT45)&gt;=1,AU6&lt;=$E$9),AT$12/(ROUND(DATEDIF(AU6,$E$9,"d")/(365/12),0)),0))</f>
        <v>0</v>
      </c>
      <c r="AV46" s="222">
        <f>IF(AV$45=1,IF($E$28&gt;0,$E$28,($E$12*$E$19)/(ROUND(DATEDIF(AV6,$E$9,"d")/(365/12),0))),IF(AND(SUM($U$45:AU45)&gt;=1,AV6&lt;=$E$9),AU$12/(ROUND(DATEDIF(AV6,$E$9,"d")/(365/12),0)),0))</f>
        <v>0</v>
      </c>
      <c r="AW46" s="222">
        <f>IF(AW$45=1,IF($E$28&gt;0,$E$28,($E$12*$E$19)/(ROUND(DATEDIF(AW6,$E$9,"d")/(365/12),0))),IF(AND(SUM($U$45:AV45)&gt;=1,AW6&lt;=$E$9),AV$12/(ROUND(DATEDIF(AW6,$E$9,"d")/(365/12),0)),0))</f>
        <v>0</v>
      </c>
      <c r="AX46" s="222">
        <f>IF(AX$45=1,IF($E$28&gt;0,$E$28,($E$12*$E$19)/(ROUND(DATEDIF(AX6,$E$9,"d")/(365/12),0))),IF(AND(SUM($U$45:AW45)&gt;=1,AX6&lt;=$E$9),AW$12/(ROUND(DATEDIF(AX6,$E$9,"d")/(365/12),0)),0))</f>
        <v>0</v>
      </c>
      <c r="AY46" s="222">
        <f>IF(AY$45=1,IF($E$28&gt;0,$E$28,($E$12*$E$19)/(ROUND(DATEDIF(AY6,$E$9,"d")/(365/12),0))),IF(AND(SUM($U$45:AX45)&gt;=1,AY6&lt;=$E$9),AX$12/(ROUND(DATEDIF(AY6,$E$9,"d")/(365/12),0)),0))</f>
        <v>0</v>
      </c>
      <c r="AZ46" s="222">
        <f>IF(AZ$45=1,IF($E$28&gt;0,$E$28,($E$12*$E$19)/(ROUND(DATEDIF(AZ6,$E$9,"d")/(365/12),0))),IF(AND(SUM($U$45:AY45)&gt;=1,AZ6&lt;=$E$9),AY$12/(ROUND(DATEDIF(AZ6,$E$9,"d")/(365/12),0)),0))</f>
        <v>0</v>
      </c>
      <c r="BA46" s="222">
        <f>IF(BA$45=1,IF($E$28&gt;0,$E$28,($E$12*$E$19)/(ROUND(DATEDIF(BA6,$E$9,"d")/(365/12),0))),IF(AND(SUM($U$45:AZ45)&gt;=1,BA6&lt;=$E$9),AZ$12/(ROUND(DATEDIF(BA6,$E$9,"d")/(365/12),0)),0))</f>
        <v>0</v>
      </c>
      <c r="BB46" s="222">
        <f>IF(BB$45=1,IF($E$28&gt;0,$E$28,($E$12*$E$19)/(ROUND(DATEDIF(BB6,$E$9,"d")/(365/12),0))),IF(AND(SUM($U$45:BA45)&gt;=1,BB6&lt;=$E$9),BA$12/(ROUND(DATEDIF(BB6,$E$9,"d")/(365/12),0)),0))</f>
        <v>0</v>
      </c>
      <c r="BC46" s="222">
        <f>IF(BC$45=1,IF($E$28&gt;0,$E$28,($E$12*$E$19)/(ROUND(DATEDIF(BC6,$E$9,"d")/(365/12),0))),IF(AND(SUM($U$45:BB45)&gt;=1,BC6&lt;=$E$9),BB$12/(ROUND(DATEDIF(BC6,$E$9,"d")/(365/12),0)),0))</f>
        <v>0</v>
      </c>
      <c r="BD46" s="222">
        <f>IF(BD$45=1,IF($E$28&gt;0,$E$28,($E$12*$E$19)/(ROUND(DATEDIF(BD6,$E$9,"d")/(365/12),0))),IF(AND(SUM($U$45:BC45)&gt;=1,BD6&lt;=$E$9),BC$12/(ROUND(DATEDIF(BD6,$E$9,"d")/(365/12),0)),0))</f>
        <v>0</v>
      </c>
      <c r="BE46" s="222">
        <f>IF(BE$45=1,IF($E$28&gt;0,$E$28,($E$12*$E$19)/(ROUND(DATEDIF(BE6,$E$9,"d")/(365/12),0))),IF(AND(SUM($U$45:BD45)&gt;=1,BE6&lt;=$E$9),BD$12/(ROUND(DATEDIF(BE6,$E$9,"d")/(365/12),0)),0))</f>
        <v>0</v>
      </c>
      <c r="BF46" s="222">
        <f>IF(BF$45=1,IF($E$28&gt;0,$E$28,($E$12*$E$19)/(ROUND(DATEDIF(BF6,$E$9,"d")/(365/12),0))),IF(AND(SUM($U$45:BE45)&gt;=1,BF6&lt;=$E$9),BE$12/(ROUND(DATEDIF(BF6,$E$9,"d")/(365/12),0)),0))</f>
        <v>0</v>
      </c>
      <c r="BG46" s="222">
        <f>IF(BG$45=1,IF($E$28&gt;0,$E$28,($E$12*$E$19)/(ROUND(DATEDIF(BG6,$E$9,"d")/(365/12),0))),IF(AND(SUM($U$45:BF45)&gt;=1,BG6&lt;=$E$9),BF$12/(ROUND(DATEDIF(BG6,$E$9,"d")/(365/12),0)),0))</f>
        <v>0</v>
      </c>
      <c r="BH46" s="222">
        <f>IF(BH$45=1,IF($E$28&gt;0,$E$28,($E$12*$E$19)/(ROUND(DATEDIF(BH6,$E$9,"d")/(365/12),0))),IF(AND(SUM($U$45:BG45)&gt;=1,BH6&lt;=$E$9),BG$12/(ROUND(DATEDIF(BH6,$E$9,"d")/(365/12),0)),0))</f>
        <v>0</v>
      </c>
      <c r="BI46" s="222">
        <f>IF(BI$45=1,IF($E$28&gt;0,$E$28,($E$12*$E$19)/(ROUND(DATEDIF(BI6,$E$9,"d")/(365/12),0))),IF(AND(SUM($U$45:BH45)&gt;=1,BI6&lt;=$E$9),BH$12/(ROUND(DATEDIF(BI6,$E$9,"d")/(365/12),0)),0))</f>
        <v>0</v>
      </c>
      <c r="BJ46" s="222">
        <f>IF(BJ$45=1,IF($E$28&gt;0,$E$28,($E$12*$E$19)/(ROUND(DATEDIF(BJ6,$E$9,"d")/(365/12),0))),IF(AND(SUM($U$45:BI45)&gt;=1,BJ6&lt;=$E$9),BI$12/(ROUND(DATEDIF(BJ6,$E$9,"d")/(365/12),0)),0))</f>
        <v>0</v>
      </c>
      <c r="BK46" s="222">
        <f>IF(BK$45=1,IF($E$28&gt;0,$E$28,($E$12*$E$19)/(ROUND(DATEDIF(BK6,$E$9,"d")/(365/12),0))),IF(AND(SUM($U$45:BJ45)&gt;=1,BK6&lt;=$E$9),BJ$12/(ROUND(DATEDIF(BK6,$E$9,"d")/(365/12),0)),0))</f>
        <v>0</v>
      </c>
      <c r="BL46" s="222">
        <f>IF(BL$45=1,IF($E$28&gt;0,$E$28,($E$12*$E$19)/(ROUND(DATEDIF(BL6,$E$9,"d")/(365/12),0))),IF(AND(SUM($U$45:BK45)&gt;=1,BL6&lt;=$E$9),BK$12/(ROUND(DATEDIF(BL6,$E$9,"d")/(365/12),0)),0))</f>
        <v>0</v>
      </c>
      <c r="BM46" s="222">
        <f>IF(BM$45=1,IF($E$28&gt;0,$E$28,($E$12*$E$19)/(ROUND(DATEDIF(BM6,$E$9,"d")/(365/12),0))),IF(AND(SUM($U$45:BL45)&gt;=1,BM6&lt;=$E$9),BL$12/(ROUND(DATEDIF(BM6,$E$9,"d")/(365/12),0)),0))</f>
        <v>0</v>
      </c>
      <c r="BN46" s="222">
        <f>IF(BN$45=1,IF($E$28&gt;0,$E$28,($E$12*$E$19)/(ROUND(DATEDIF(BN6,$E$9,"d")/(365/12),0))),IF(AND(SUM($U$45:BM45)&gt;=1,BN6&lt;=$E$9),BM$12/(ROUND(DATEDIF(BN6,$E$9,"d")/(365/12),0)),0))</f>
        <v>0</v>
      </c>
      <c r="BO46" s="222">
        <f>IF(BO$45=1,IF($E$28&gt;0,$E$28,($E$12*$E$19)/(ROUND(DATEDIF(BO6,$E$9,"d")/(365/12),0))),IF(AND(SUM($U$45:BN45)&gt;=1,BO6&lt;=$E$9),BN$12/(ROUND(DATEDIF(BO6,$E$9,"d")/(365/12),0)),0))</f>
        <v>0</v>
      </c>
      <c r="BP46" s="222">
        <f>IF(BP$45=1,IF($E$28&gt;0,$E$28,($E$12*$E$19)/(ROUND(DATEDIF(BP6,$E$9,"d")/(365/12),0))),IF(AND(SUM($U$45:BO45)&gt;=1,BP6&lt;=$E$9),BO$12/(ROUND(DATEDIF(BP6,$E$9,"d")/(365/12),0)),0))</f>
        <v>0</v>
      </c>
      <c r="BQ46" s="222">
        <f>IF(BQ$45=1,IF($E$28&gt;0,$E$28,($E$12*$E$19)/(ROUND(DATEDIF(BQ6,$E$9,"d")/(365/12),0))),IF(AND(SUM($U$45:BP45)&gt;=1,BQ6&lt;=$E$9),BP$12/(ROUND(DATEDIF(BQ6,$E$9,"d")/(365/12),0)),0))</f>
        <v>0</v>
      </c>
      <c r="BR46" s="222">
        <f>IF(BR$45=1,IF($E$28&gt;0,$E$28,($E$12*$E$19)/(ROUND(DATEDIF(BR6,$E$9,"d")/(365/12),0))),IF(AND(SUM($U$45:BQ45)&gt;=1,BR6&lt;=$E$9),BQ$12/(ROUND(DATEDIF(BR6,$E$9,"d")/(365/12),0)),0))</f>
        <v>0</v>
      </c>
      <c r="BS46" s="222">
        <f>IF(BS$45=1,IF($E$28&gt;0,$E$28,($E$12*$E$19)/(ROUND(DATEDIF(BS6,$E$9,"d")/(365/12),0))),IF(AND(SUM($U$45:BR45)&gt;=1,BS6&lt;=$E$9),BR$12/(ROUND(DATEDIF(BS6,$E$9,"d")/(365/12),0)),0))</f>
        <v>0</v>
      </c>
      <c r="BT46" s="222">
        <f>IF(BT$45=1,IF($E$28&gt;0,$E$28,($E$12*$E$19)/(ROUND(DATEDIF(BT6,$E$9,"d")/(365/12),0))),IF(AND(SUM($U$45:BS45)&gt;=1,BT6&lt;=$E$9),BS$12/(ROUND(DATEDIF(BT6,$E$9,"d")/(365/12),0)),0))</f>
        <v>0</v>
      </c>
      <c r="BU46" s="222">
        <f>IF(BU$45=1,IF($E$28&gt;0,$E$28,($E$12*$E$19)/(ROUND(DATEDIF(BU6,$E$9,"d")/(365/12),0))),IF(AND(SUM($U$45:BT45)&gt;=1,BU6&lt;=$E$9),BT$12/(ROUND(DATEDIF(BU6,$E$9,"d")/(365/12),0)),0))</f>
        <v>0</v>
      </c>
      <c r="BV46" s="222">
        <f>IF(BV$45=1,IF($E$28&gt;0,$E$28,($E$12*$E$19)/(ROUND(DATEDIF(BV6,$E$9,"d")/(365/12),0))),IF(AND(SUM($U$45:BU45)&gt;=1,BV6&lt;=$E$9),BU$12/(ROUND(DATEDIF(BV6,$E$9,"d")/(365/12),0)),0))</f>
        <v>0</v>
      </c>
      <c r="BW46" s="222">
        <f>IF(BW$45=1,IF($E$28&gt;0,$E$28,($E$12*$E$19)/(ROUND(DATEDIF(BW6,$E$9,"d")/(365/12),0))),IF(AND(SUM($U$45:BV45)&gt;=1,BW6&lt;=$E$9),BV$12/(ROUND(DATEDIF(BW6,$E$9,"d")/(365/12),0)),0))</f>
        <v>0</v>
      </c>
      <c r="BX46" s="222">
        <f>IF(BX$45=1,IF($E$28&gt;0,$E$28,($E$12*$E$19)/(ROUND(DATEDIF(BX6,$E$9,"d")/(365/12),0))),IF(AND(SUM($U$45:BW45)&gt;=1,BX6&lt;=$E$9),BW$12/(ROUND(DATEDIF(BX6,$E$9,"d")/(365/12),0)),0))</f>
        <v>0</v>
      </c>
      <c r="BY46" s="222">
        <f>IF(BY$45=1,IF($E$28&gt;0,$E$28,($E$12*$E$19)/(ROUND(DATEDIF(BY6,$E$9,"d")/(365/12),0))),IF(AND(SUM($U$45:BX45)&gt;=1,BY6&lt;=$E$9),BX$12/(ROUND(DATEDIF(BY6,$E$9,"d")/(365/12),0)),0))</f>
        <v>0</v>
      </c>
      <c r="BZ46" s="222">
        <f>IF(BZ$45=1,IF($E$28&gt;0,$E$28,($E$12*$E$19)/(ROUND(DATEDIF(BZ6,$E$9,"d")/(365/12),0))),IF(AND(SUM($U$45:BY45)&gt;=1,BZ6&lt;=$E$9),BY$12/(ROUND(DATEDIF(BZ6,$E$9,"d")/(365/12),0)),0))</f>
        <v>0</v>
      </c>
      <c r="CA46" s="222">
        <f>IF(CA$45=1,IF($E$28&gt;0,$E$28,($E$12*$E$19)/(ROUND(DATEDIF(CA6,$E$9,"d")/(365/12),0))),IF(AND(SUM($U$45:BZ45)&gt;=1,CA6&lt;=$E$9),BZ$12/(ROUND(DATEDIF(CA6,$E$9,"d")/(365/12),0)),0))</f>
        <v>0</v>
      </c>
      <c r="CB46" s="222">
        <f>IF(CB$45=1,IF($E$28&gt;0,$E$28,($E$12*$E$19)/(ROUND(DATEDIF(CB6,$E$9,"d")/(365/12),0))),IF(AND(SUM($U$45:CA45)&gt;=1,CB6&lt;=$E$9),CA$12/(ROUND(DATEDIF(CB6,$E$9,"d")/(365/12),0)),0))</f>
        <v>0</v>
      </c>
      <c r="CC46" s="222">
        <f>IF(CC$45=1,IF($E$28&gt;0,$E$28,($E$12*$E$19)/(ROUND(DATEDIF(CC6,$E$9,"d")/(365/12),0))),IF(AND(SUM($U$45:CB45)&gt;=1,CC6&lt;=$E$9),CB$12/(ROUND(DATEDIF(CC6,$E$9,"d")/(365/12),0)),0))</f>
        <v>0</v>
      </c>
      <c r="CD46" s="222">
        <f>IF(CD$45=1,IF($E$28&gt;0,$E$28,($E$12*$E$19)/(ROUND(DATEDIF(CD6,$E$9,"d")/(365/12),0))),IF(AND(SUM($U$45:CC45)&gt;=1,CD6&lt;=$E$9),CC$12/(ROUND(DATEDIF(CD6,$E$9,"d")/(365/12),0)),0))</f>
        <v>0</v>
      </c>
      <c r="CE46" s="222">
        <f>IF(CE$45=1,IF($E$28&gt;0,$E$28,($E$12*$E$19)/(ROUND(DATEDIF(CE6,$E$9,"d")/(365/12),0))),IF(AND(SUM($U$45:CD45)&gt;=1,CE6&lt;=$E$9),CD$12/(ROUND(DATEDIF(CE6,$E$9,"d")/(365/12),0)),0))</f>
        <v>0</v>
      </c>
      <c r="CF46" s="222">
        <f>IF(CF$45=1,IF($E$28&gt;0,$E$28,($E$12*$E$19)/(ROUND(DATEDIF(CF6,$E$9,"d")/(365/12),0))),IF(AND(SUM($U$45:CE45)&gt;=1,CF6&lt;=$E$9),CE$12/(ROUND(DATEDIF(CF6,$E$9,"d")/(365/12),0)),0))</f>
        <v>0</v>
      </c>
      <c r="CG46" s="222">
        <f>IF(CG$45=1,IF($E$28&gt;0,$E$28,($E$12*$E$19)/(ROUND(DATEDIF(CG6,$E$9,"d")/(365/12),0))),IF(AND(SUM($U$45:CF45)&gt;=1,CG6&lt;=$E$9),CF$12/(ROUND(DATEDIF(CG6,$E$9,"d")/(365/12),0)),0))</f>
        <v>0</v>
      </c>
      <c r="CH46" s="222">
        <f>IF(CH$45=1,IF($E$28&gt;0,$E$28,($E$12*$E$19)/(ROUND(DATEDIF(CH6,$E$9,"d")/(365/12),0))),IF(AND(SUM($U$45:CG45)&gt;=1,CH6&lt;=$E$9),CG$12/(ROUND(DATEDIF(CH6,$E$9,"d")/(365/12),0)),0))</f>
        <v>0</v>
      </c>
      <c r="CI46" s="222">
        <f>IF(CI$45=1,IF($E$28&gt;0,$E$28,($E$12*$E$19)/(ROUND(DATEDIF(CI6,$E$9,"d")/(365/12),0))),IF(AND(SUM($U$45:CH45)&gt;=1,CI6&lt;=$E$9),CH$12/(ROUND(DATEDIF(CI6,$E$9,"d")/(365/12),0)),0))</f>
        <v>0</v>
      </c>
      <c r="CJ46" s="222">
        <f>IF(CJ$45=1,IF($E$28&gt;0,$E$28,($E$12*$E$19)/(ROUND(DATEDIF(CJ6,$E$9,"d")/(365/12),0))),IF(AND(SUM($U$45:CI45)&gt;=1,CJ6&lt;=$E$9),CI$12/(ROUND(DATEDIF(CJ6,$E$9,"d")/(365/12),0)),0))</f>
        <v>0</v>
      </c>
      <c r="CK46" s="222">
        <f>IF(CK$45=1,IF($E$28&gt;0,$E$28,($E$12*$E$19)/(ROUND(DATEDIF(CK6,$E$9,"d")/(365/12),0))),IF(AND(SUM($U$45:CJ45)&gt;=1,CK6&lt;=$E$9),CJ$12/(ROUND(DATEDIF(CK6,$E$9,"d")/(365/12),0)),0))</f>
        <v>0</v>
      </c>
      <c r="CL46" s="222">
        <f>IF(CL$45=1,IF($E$28&gt;0,$E$28,($E$12*$E$19)/(ROUND(DATEDIF(CL6,$E$9,"d")/(365/12),0))),IF(AND(SUM($U$45:CK45)&gt;=1,CL6&lt;=$E$9),CK$12/(ROUND(DATEDIF(CL6,$E$9,"d")/(365/12),0)),0))</f>
        <v>0</v>
      </c>
      <c r="CM46" s="222">
        <f>IF(CM$45=1,IF($E$28&gt;0,$E$28,($E$12*$E$19)/(ROUND(DATEDIF(CM6,$E$9,"d")/(365/12),0))),IF(AND(SUM($U$45:CL45)&gt;=1,CM6&lt;=$E$9),CL$12/(ROUND(DATEDIF(CM6,$E$9,"d")/(365/12),0)),0))</f>
        <v>0</v>
      </c>
      <c r="CN46" s="222">
        <f>IF(CN$45=1,IF($E$28&gt;0,$E$28,($E$12*$E$19)/(ROUND(DATEDIF(CN6,$E$9,"d")/(365/12),0))),IF(AND(SUM($U$45:CM45)&gt;=1,CN6&lt;=$E$9),CM$12/(ROUND(DATEDIF(CN6,$E$9,"d")/(365/12),0)),0))</f>
        <v>0</v>
      </c>
      <c r="CO46" s="222">
        <f>IF(CO$45=1,IF($E$28&gt;0,$E$28,($E$12*$E$19)/(ROUND(DATEDIF(CO6,$E$9,"d")/(365/12),0))),IF(AND(SUM($U$45:CN45)&gt;=1,CO6&lt;=$E$9),CN$12/(ROUND(DATEDIF(CO6,$E$9,"d")/(365/12),0)),0))</f>
        <v>0</v>
      </c>
      <c r="CP46" s="222">
        <f>IF(CP$45=1,IF($E$28&gt;0,$E$28,($E$12*$E$19)/(ROUND(DATEDIF(CP6,$E$9,"d")/(365/12),0))),IF(AND(SUM($U$45:CO45)&gt;=1,CP6&lt;=$E$9),CO$12/(ROUND(DATEDIF(CP6,$E$9,"d")/(365/12),0)),0))</f>
        <v>0</v>
      </c>
      <c r="CQ46" s="222">
        <f>IF(CQ$45=1,IF($E$28&gt;0,$E$28,($E$12*$E$19)/(ROUND(DATEDIF(CQ6,$E$9,"d")/(365/12),0))),IF(AND(SUM($U$45:CP45)&gt;=1,CQ6&lt;=$E$9),CP$12/(ROUND(DATEDIF(CQ6,$E$9,"d")/(365/12),0)),0))</f>
        <v>0</v>
      </c>
      <c r="CR46" s="222">
        <f>IF(CR$45=1,IF($E$28&gt;0,$E$28,($E$12*$E$19)/(ROUND(DATEDIF(CR6,$E$9,"d")/(365/12),0))),IF(AND(SUM($U$45:CQ45)&gt;=1,CR6&lt;=$E$9),CQ$12/(ROUND(DATEDIF(CR6,$E$9,"d")/(365/12),0)),0))</f>
        <v>0</v>
      </c>
      <c r="CS46" s="222">
        <f>IF(CS$45=1,IF($E$28&gt;0,$E$28,($E$12*$E$19)/(ROUND(DATEDIF(CS6,$E$9,"d")/(365/12),0))),IF(AND(SUM($U$45:CR45)&gt;=1,CS6&lt;=$E$9),CR$12/(ROUND(DATEDIF(CS6,$E$9,"d")/(365/12),0)),0))</f>
        <v>0</v>
      </c>
      <c r="CT46" s="222">
        <f>IF(CT$45=1,IF($E$28&gt;0,$E$28,($E$12*$E$19)/(ROUND(DATEDIF(CT6,$E$9,"d")/(365/12),0))),IF(AND(SUM($U$45:CS45)&gt;=1,CT6&lt;=$E$9),CS$12/(ROUND(DATEDIF(CT6,$E$9,"d")/(365/12),0)),0))</f>
        <v>0</v>
      </c>
      <c r="CU46" s="222">
        <f>IF(CU$45=1,IF($E$28&gt;0,$E$28,($E$12*$E$19)/(ROUND(DATEDIF(CU6,$E$9,"d")/(365/12),0))),IF(AND(SUM($U$45:CT45)&gt;=1,CU6&lt;=$E$9),CT$12/(ROUND(DATEDIF(CU6,$E$9,"d")/(365/12),0)),0))</f>
        <v>0</v>
      </c>
      <c r="CV46" s="222">
        <f>IF(CV$45=1,IF($E$28&gt;0,$E$28,($E$12*$E$19)/(ROUND(DATEDIF(CV6,$E$9,"d")/(365/12),0))),IF(AND(SUM($U$45:CU45)&gt;=1,CV6&lt;=$E$9),CU$12/(ROUND(DATEDIF(CV6,$E$9,"d")/(365/12),0)),0))</f>
        <v>0</v>
      </c>
      <c r="CW46" s="222">
        <f>IF(CW$45=1,IF($E$28&gt;0,$E$28,($E$12*$E$19)/(ROUND(DATEDIF(CW6,$E$9,"d")/(365/12),0))),IF(AND(SUM($U$45:CV45)&gt;=1,CW6&lt;=$E$9),CV$12/(ROUND(DATEDIF(CW6,$E$9,"d")/(365/12),0)),0))</f>
        <v>0</v>
      </c>
      <c r="CX46" s="222">
        <f>IF(CX$45=1,IF($E$28&gt;0,$E$28,($E$12*$E$19)/(ROUND(DATEDIF(CX6,$E$9,"d")/(365/12),0))),IF(AND(SUM($U$45:CW45)&gt;=1,CX6&lt;=$E$9),CW$12/(ROUND(DATEDIF(CX6,$E$9,"d")/(365/12),0)),0))</f>
        <v>0</v>
      </c>
      <c r="CY46" s="222">
        <f>IF(CY$45=1,IF($E$28&gt;0,$E$28,($E$12*$E$19)/(ROUND(DATEDIF(CY6,$E$9,"d")/(365/12),0))),IF(AND(SUM($U$45:CX45)&gt;=1,CY6&lt;=$E$9),CX$12/(ROUND(DATEDIF(CY6,$E$9,"d")/(365/12),0)),0))</f>
        <v>0</v>
      </c>
      <c r="CZ46" s="222">
        <f>IF(CZ$45=1,IF($E$28&gt;0,$E$28,($E$12*$E$19)/(ROUND(DATEDIF(CZ6,$E$9,"d")/(365/12),0))),IF(AND(SUM($U$45:CY45)&gt;=1,CZ6&lt;=$E$9),CY$12/(ROUND(DATEDIF(CZ6,$E$9,"d")/(365/12),0)),0))</f>
        <v>0</v>
      </c>
      <c r="DA46" s="222">
        <f>IF(DA$45=1,IF($E$28&gt;0,$E$28,($E$12*$E$19)/(ROUND(DATEDIF(DA6,$E$9,"d")/(365/12),0))),IF(AND(SUM($U$45:CZ45)&gt;=1,DA6&lt;=$E$9),CZ$12/(ROUND(DATEDIF(DA6,$E$9,"d")/(365/12),0)),0))</f>
        <v>0</v>
      </c>
      <c r="DB46" s="222">
        <f>IF(DB$45=1,IF($E$28&gt;0,$E$28,($E$12*$E$19)/(ROUND(DATEDIF(DB6,$E$9,"d")/(365/12),0))),IF(AND(SUM($U$45:DA45)&gt;=1,DB6&lt;=$E$9),DA$12/(ROUND(DATEDIF(DB6,$E$9,"d")/(365/12),0)),0))</f>
        <v>0</v>
      </c>
      <c r="DC46" s="222">
        <f>IF(DC$45=1,IF($E$28&gt;0,$E$28,($E$12*$E$19)/(ROUND(DATEDIF(DC6,$E$9,"d")/(365/12),0))),IF(AND(SUM($U$45:DB45)&gt;=1,DC6&lt;=$E$9),DB$12/(ROUND(DATEDIF(DC6,$E$9,"d")/(365/12),0)),0))</f>
        <v>0</v>
      </c>
      <c r="DD46" s="222">
        <f>IF(DD$45=1,IF($E$28&gt;0,$E$28,($E$12*$E$19)/(ROUND(DATEDIF(DD6,$E$9,"d")/(365/12),0))),IF(AND(SUM($U$45:DC45)&gt;=1,DD6&lt;=$E$9),DC$12/(ROUND(DATEDIF(DD6,$E$9,"d")/(365/12),0)),0))</f>
        <v>0</v>
      </c>
      <c r="DE46" s="222">
        <f>IF(DE$45=1,IF($E$28&gt;0,$E$28,($E$12*$E$19)/(ROUND(DATEDIF(DE6,$E$9,"d")/(365/12),0))),IF(AND(SUM($U$45:DD45)&gt;=1,DE6&lt;=$E$9),DD$12/(ROUND(DATEDIF(DE6,$E$9,"d")/(365/12),0)),0))</f>
        <v>0</v>
      </c>
      <c r="DF46" s="222">
        <f>IF(DF$45=1,IF($E$28&gt;0,$E$28,($E$12*$E$19)/(ROUND(DATEDIF(DF6,$E$9,"d")/(365/12),0))),IF(AND(SUM($U$45:DE45)&gt;=1,DF6&lt;=$E$9),DE$12/(ROUND(DATEDIF(DF6,$E$9,"d")/(365/12),0)),0))</f>
        <v>0</v>
      </c>
      <c r="DG46" s="222">
        <f>IF(DG$45=1,IF($E$28&gt;0,$E$28,($E$12*$E$19)/(ROUND(DATEDIF(DG6,$E$9,"d")/(365/12),0))),IF(AND(SUM($U$45:DF45)&gt;=1,DG6&lt;=$E$9),DF$12/(ROUND(DATEDIF(DG6,$E$9,"d")/(365/12),0)),0))</f>
        <v>0</v>
      </c>
      <c r="DH46" s="222">
        <f>IF(DH$45=1,IF($E$28&gt;0,$E$28,($E$12*$E$19)/(ROUND(DATEDIF(DH6,$E$9,"d")/(365/12),0))),IF(AND(SUM($U$45:DG45)&gt;=1,DH6&lt;=$E$9),DG$12/(ROUND(DATEDIF(DH6,$E$9,"d")/(365/12),0)),0))</f>
        <v>0</v>
      </c>
      <c r="DI46" s="222">
        <f>IF(DI$45=1,IF($E$28&gt;0,$E$28,($E$12*$E$19)/(ROUND(DATEDIF(DI6,$E$9,"d")/(365/12),0))),IF(AND(SUM($U$45:DH45)&gt;=1,DI6&lt;=$E$9),DH$12/(ROUND(DATEDIF(DI6,$E$9,"d")/(365/12),0)),0))</f>
        <v>0</v>
      </c>
      <c r="DJ46" s="222">
        <f>IF(DJ$45=1,IF($E$28&gt;0,$E$28,($E$12*$E$19)/(ROUND(DATEDIF(DJ6,$E$9,"d")/(365/12),0))),IF(AND(SUM($U$45:DI45)&gt;=1,DJ6&lt;=$E$9),DI$12/(ROUND(DATEDIF(DJ6,$E$9,"d")/(365/12),0)),0))</f>
        <v>0</v>
      </c>
      <c r="DK46" s="222">
        <f>IF(DK$45=1,IF($E$28&gt;0,$E$28,($E$12*$E$19)/(ROUND(DATEDIF(DK6,$E$9,"d")/(365/12),0))),IF(AND(SUM($U$45:DJ45)&gt;=1,DK6&lt;=$E$9),DJ$12/(ROUND(DATEDIF(DK6,$E$9,"d")/(365/12),0)),0))</f>
        <v>0</v>
      </c>
      <c r="DL46" s="222">
        <f>IF(DL$45=1,IF($E$28&gt;0,$E$28,($E$12*$E$19)/(ROUND(DATEDIF(DL6,$E$9,"d")/(365/12),0))),IF(AND(SUM($U$45:DK45)&gt;=1,DL6&lt;=$E$9),DK$12/(ROUND(DATEDIF(DL6,$E$9,"d")/(365/12),0)),0))</f>
        <v>0</v>
      </c>
      <c r="DM46" s="222">
        <f>IF(DM$45=1,IF($E$28&gt;0,$E$28,($E$12*$E$19)/(ROUND(DATEDIF(DM6,$E$9,"d")/(365/12),0))),IF(AND(SUM($U$45:DL45)&gt;=1,DM6&lt;=$E$9),DL$12/(ROUND(DATEDIF(DM6,$E$9,"d")/(365/12),0)),0))</f>
        <v>0</v>
      </c>
      <c r="DN46" s="222">
        <f>IF(DN$45=1,IF($E$28&gt;0,$E$28,($E$12*$E$19)/(ROUND(DATEDIF(DN6,$E$9,"d")/(365/12),0))),IF(AND(SUM($U$45:DM45)&gt;=1,DN6&lt;=$E$9),DM$12/(ROUND(DATEDIF(DN6,$E$9,"d")/(365/12),0)),0))</f>
        <v>0</v>
      </c>
      <c r="DO46" s="222">
        <f>IF(DO$45=1,IF($E$28&gt;0,$E$28,($E$12*$E$19)/(ROUND(DATEDIF(DO6,$E$9,"d")/(365/12),0))),IF(AND(SUM($U$45:DN45)&gt;=1,DO6&lt;=$E$9),DN$12/(ROUND(DATEDIF(DO6,$E$9,"d")/(365/12),0)),0))</f>
        <v>0</v>
      </c>
      <c r="DP46" s="222">
        <f>IF(DP$45=1,IF($E$28&gt;0,$E$28,($E$12*$E$19)/(ROUND(DATEDIF(DP6,$E$9,"d")/(365/12),0))),IF(AND(SUM($U$45:DO45)&gt;=1,DP6&lt;=$E$9),DO$12/(ROUND(DATEDIF(DP6,$E$9,"d")/(365/12),0)),0))</f>
        <v>0</v>
      </c>
      <c r="DQ46" s="222">
        <f>IF(DQ$45=1,IF($E$28&gt;0,$E$28,($E$12*$E$19)/(ROUND(DATEDIF(DQ6,$E$9,"d")/(365/12),0))),IF(AND(SUM($U$45:DP45)&gt;=1,DQ6&lt;=$E$9),DP$12/(ROUND(DATEDIF(DQ6,$E$9,"d")/(365/12),0)),0))</f>
        <v>0</v>
      </c>
      <c r="DR46" s="222">
        <f>IF(DR$45=1,IF($E$28&gt;0,$E$28,($E$12*$E$19)/(ROUND(DATEDIF(DR6,$E$9,"d")/(365/12),0))),IF(AND(SUM($U$45:DQ45)&gt;=1,DR6&lt;=$E$9),DQ$12/(ROUND(DATEDIF(DR6,$E$9,"d")/(365/12),0)),0))</f>
        <v>0</v>
      </c>
      <c r="DS46" s="222">
        <f>IF(DS$45=1,IF($E$28&gt;0,$E$28,($E$12*$E$19)/(ROUND(DATEDIF(DS6,$E$9,"d")/(365/12),0))),IF(AND(SUM($U$45:DR45)&gt;=1,DS6&lt;=$E$9),DR$12/(ROUND(DATEDIF(DS6,$E$9,"d")/(365/12),0)),0))</f>
        <v>0</v>
      </c>
      <c r="DT46" s="222">
        <f>IF(DT$45=1,IF($E$28&gt;0,$E$28,($E$12*$E$19)/(ROUND(DATEDIF(DT6,$E$9,"d")/(365/12),0))),IF(AND(SUM($U$45:DS45)&gt;=1,DT6&lt;=$E$9),DS$12/(ROUND(DATEDIF(DT6,$E$9,"d")/(365/12),0)),0))</f>
        <v>0</v>
      </c>
      <c r="DU46" s="222">
        <f>IF(DU$45=1,IF($E$28&gt;0,$E$28,($E$12*$E$19)/(ROUND(DATEDIF(DU6,$E$9,"d")/(365/12),0))),IF(AND(SUM($U$45:DT45)&gt;=1,DU6&lt;=$E$9),DT$12/(ROUND(DATEDIF(DU6,$E$9,"d")/(365/12),0)),0))</f>
        <v>0</v>
      </c>
      <c r="DV46" s="222">
        <f>IF(DV$45=1,IF($E$28&gt;0,$E$28,($E$12*$E$19)/(ROUND(DATEDIF(DV6,$E$9,"d")/(365/12),0))),IF(AND(SUM($U$45:DU45)&gt;=1,DV6&lt;=$E$9),DU$12/(ROUND(DATEDIF(DV6,$E$9,"d")/(365/12),0)),0))</f>
        <v>0</v>
      </c>
      <c r="DW46" s="222">
        <f>IF(DW$45=1,IF($E$28&gt;0,$E$28,($E$12*$E$19)/(ROUND(DATEDIF(DW6,$E$9,"d")/(365/12),0))),IF(AND(SUM($U$45:DV45)&gt;=1,DW6&lt;=$E$9),DV$12/(ROUND(DATEDIF(DW6,$E$9,"d")/(365/12),0)),0))</f>
        <v>0</v>
      </c>
      <c r="DX46" s="222">
        <f>IF(DX$45=1,IF($E$28&gt;0,$E$28,($E$12*$E$19)/(ROUND(DATEDIF(DX6,$E$9,"d")/(365/12),0))),IF(AND(SUM($U$45:DW45)&gt;=1,DX6&lt;=$E$9),DW$12/(ROUND(DATEDIF(DX6,$E$9,"d")/(365/12),0)),0))</f>
        <v>0</v>
      </c>
      <c r="DY46" s="222">
        <f>IF(DY$45=1,IF($E$28&gt;0,$E$28,($E$12*$E$19)/(ROUND(DATEDIF(DY6,$E$9,"d")/(365/12),0))),IF(AND(SUM($U$45:DX45)&gt;=1,DY6&lt;=$E$9),DX$12/(ROUND(DATEDIF(DY6,$E$9,"d")/(365/12),0)),0))</f>
        <v>0</v>
      </c>
      <c r="DZ46" s="222">
        <f>IF(DZ$45=1,IF($E$28&gt;0,$E$28,($E$12*$E$19)/(ROUND(DATEDIF(DZ6,$E$9,"d")/(365/12),0))),IF(AND(SUM($U$45:DY45)&gt;=1,DZ6&lt;=$E$9),DY$12/(ROUND(DATEDIF(DZ6,$E$9,"d")/(365/12),0)),0))</f>
        <v>0</v>
      </c>
      <c r="EA46" s="222">
        <f>IF(EA$45=1,IF($E$28&gt;0,$E$28,($E$12*$E$19)/(ROUND(DATEDIF(EA6,$E$9,"d")/(365/12),0))),IF(AND(SUM($U$45:DZ45)&gt;=1,EA6&lt;=$E$9),DZ$12/(ROUND(DATEDIF(EA6,$E$9,"d")/(365/12),0)),0))</f>
        <v>0</v>
      </c>
      <c r="EB46" s="222">
        <f>IF(EB$45=1,IF($E$28&gt;0,$E$28,($E$12*$E$19)/(ROUND(DATEDIF(EB6,$E$9,"d")/(365/12),0))),IF(AND(SUM($U$45:EA45)&gt;=1,EB6&lt;=$E$9),EA$12/(ROUND(DATEDIF(EB6,$E$9,"d")/(365/12),0)),0))</f>
        <v>0</v>
      </c>
      <c r="EC46" s="222">
        <f>IF(EC$45=1,IF($E$28&gt;0,$E$28,($E$12*$E$19)/(ROUND(DATEDIF(EC6,$E$9,"d")/(365/12),0))),IF(AND(SUM($U$45:EB45)&gt;=1,EC6&lt;=$E$9),EB$12/(ROUND(DATEDIF(EC6,$E$9,"d")/(365/12),0)),0))</f>
        <v>0</v>
      </c>
      <c r="ED46" s="222">
        <f>IF(ED$45=1,IF($E$28&gt;0,$E$28,($E$12*$E$19)/(ROUND(DATEDIF(ED6,$E$9,"d")/(365/12),0))),IF(AND(SUM($U$45:EC45)&gt;=1,ED6&lt;=$E$9),EC$12/(ROUND(DATEDIF(ED6,$E$9,"d")/(365/12),0)),0))</f>
        <v>0</v>
      </c>
      <c r="EE46" s="222">
        <f>IF(EE$45=1,IF($E$28&gt;0,$E$28,($E$12*$E$19)/(ROUND(DATEDIF(EE6,$E$9,"d")/(365/12),0))),IF(AND(SUM($U$45:ED45)&gt;=1,EE6&lt;=$E$9),ED$12/(ROUND(DATEDIF(EE6,$E$9,"d")/(365/12),0)),0))</f>
        <v>0</v>
      </c>
      <c r="EF46" s="222">
        <f>IF(EF$45=1,IF($E$28&gt;0,$E$28,($E$12*$E$19)/(ROUND(DATEDIF(EF6,$E$9,"d")/(365/12),0))),IF(AND(SUM($U$45:EE45)&gt;=1,EF6&lt;=$E$9),EE$12/(ROUND(DATEDIF(EF6,$E$9,"d")/(365/12),0)),0))</f>
        <v>0</v>
      </c>
      <c r="EG46" s="222">
        <f>IF(EG$45=1,IF($E$28&gt;0,$E$28,($E$12*$E$19)/(ROUND(DATEDIF(EG6,$E$9,"d")/(365/12),0))),IF(AND(SUM($U$45:EF45)&gt;=1,EG6&lt;=$E$9),EF$12/(ROUND(DATEDIF(EG6,$E$9,"d")/(365/12),0)),0))</f>
        <v>0</v>
      </c>
      <c r="EH46" s="222">
        <f>IF(EH$45=1,IF($E$28&gt;0,$E$28,($E$12*$E$19)/(ROUND(DATEDIF(EH6,$E$9,"d")/(365/12),0))),IF(AND(SUM($U$45:EG45)&gt;=1,EH6&lt;=$E$9),EG$12/(ROUND(DATEDIF(EH6,$E$9,"d")/(365/12),0)),0))</f>
        <v>0</v>
      </c>
      <c r="EI46" s="222">
        <f>IF(EI$45=1,IF($E$28&gt;0,$E$28,($E$12*$E$19)/(ROUND(DATEDIF(EI6,$E$9,"d")/(365/12),0))),IF(AND(SUM($U$45:EH45)&gt;=1,EI6&lt;=$E$9),EH$12/(ROUND(DATEDIF(EI6,$E$9,"d")/(365/12),0)),0))</f>
        <v>0</v>
      </c>
      <c r="EJ46" s="222">
        <f>IF(EJ$45=1,IF($E$28&gt;0,$E$28,($E$12*$E$19)/(ROUND(DATEDIF(EJ6,$E$9,"d")/(365/12),0))),IF(AND(SUM($U$45:EI45)&gt;=1,EJ6&lt;=$E$9),EI$12/(ROUND(DATEDIF(EJ6,$E$9,"d")/(365/12),0)),0))</f>
        <v>0</v>
      </c>
      <c r="EK46" s="222">
        <f>IF(EK$45=1,IF($E$28&gt;0,$E$28,($E$12*$E$19)/(ROUND(DATEDIF(EK6,$E$9,"d")/(365/12),0))),IF(AND(SUM($U$45:EJ45)&gt;=1,EK6&lt;=$E$9),EJ$12/(ROUND(DATEDIF(EK6,$E$9,"d")/(365/12),0)),0))</f>
        <v>0</v>
      </c>
      <c r="EL46" s="222">
        <f>IF(EL$45=1,IF($E$28&gt;0,$E$28,($E$12*$E$19)/(ROUND(DATEDIF(EL6,$E$9,"d")/(365/12),0))),IF(AND(SUM($U$45:EK45)&gt;=1,EL6&lt;=$E$9),EK$12/(ROUND(DATEDIF(EL6,$E$9,"d")/(365/12),0)),0))</f>
        <v>0</v>
      </c>
      <c r="EM46" s="222">
        <f>IF(EM$45=1,IF($E$28&gt;0,$E$28,($E$12*$E$19)/(ROUND(DATEDIF(EM6,$E$9,"d")/(365/12),0))),IF(AND(SUM($U$45:EL45)&gt;=1,EM6&lt;=$E$9),EL$12/(ROUND(DATEDIF(EM6,$E$9,"d")/(365/12),0)),0))</f>
        <v>0</v>
      </c>
      <c r="EN46" s="222">
        <f>IF(EN$45=1,IF($E$28&gt;0,$E$28,($E$12*$E$19)/(ROUND(DATEDIF(EN6,$E$9,"d")/(365/12),0))),IF(AND(SUM($U$45:EM45)&gt;=1,EN6&lt;=$E$9),EM$12/(ROUND(DATEDIF(EN6,$E$9,"d")/(365/12),0)),0))</f>
        <v>0</v>
      </c>
      <c r="EO46" s="222">
        <f>IF(EO$45=1,IF($E$28&gt;0,$E$28,($E$12*$E$19)/(ROUND(DATEDIF(EO6,$E$9,"d")/(365/12),0))),IF(AND(SUM($U$45:EN45)&gt;=1,EO6&lt;=$E$9),EN$12/(ROUND(DATEDIF(EO6,$E$9,"d")/(365/12),0)),0))</f>
        <v>0</v>
      </c>
      <c r="EP46" s="222">
        <f>IF(EP$45=1,IF($E$28&gt;0,$E$28,($E$12*$E$19)/(ROUND(DATEDIF(EP6,$E$9,"d")/(365/12),0))),IF(AND(SUM($U$45:EO45)&gt;=1,EP6&lt;=$E$9),EO$12/(ROUND(DATEDIF(EP6,$E$9,"d")/(365/12),0)),0))</f>
        <v>0</v>
      </c>
      <c r="EQ46" s="222">
        <f>IF(EQ$45=1,IF($E$28&gt;0,$E$28,($E$12*$E$19)/(ROUND(DATEDIF(EQ6,$E$9,"d")/(365/12),0))),IF(AND(SUM($U$45:EP45)&gt;=1,EQ6&lt;=$E$9),EP$12/(ROUND(DATEDIF(EQ6,$E$9,"d")/(365/12),0)),0))</f>
        <v>0</v>
      </c>
      <c r="ER46" s="222">
        <f>IF(ER$45=1,IF($E$28&gt;0,$E$28,($E$12*$E$19)/(ROUND(DATEDIF(ER6,$E$9,"d")/(365/12),0))),IF(AND(SUM($U$45:EQ45)&gt;=1,ER6&lt;=$E$9),EQ$12/(ROUND(DATEDIF(ER6,$E$9,"d")/(365/12),0)),0))</f>
        <v>0</v>
      </c>
      <c r="ES46" s="222">
        <f>IF(ES$45=1,IF($E$28&gt;0,$E$28,($E$12*$E$19)/(ROUND(DATEDIF(ES6,$E$9,"d")/(365/12),0))),IF(AND(SUM($U$45:ER45)&gt;=1,ES6&lt;=$E$9),ER$12/(ROUND(DATEDIF(ES6,$E$9,"d")/(365/12),0)),0))</f>
        <v>0</v>
      </c>
      <c r="ET46" s="222">
        <f>IF(ET$45=1,IF($E$28&gt;0,$E$28,($E$12*$E$19)/(ROUND(DATEDIF(ET6,$E$9,"d")/(365/12),0))),IF(AND(SUM($U$45:ES45)&gt;=1,ET6&lt;=$E$9),ES$12/(ROUND(DATEDIF(ET6,$E$9,"d")/(365/12),0)),0))</f>
        <v>0</v>
      </c>
      <c r="EU46" s="222">
        <f>IF(EU$45=1,IF($E$28&gt;0,$E$28,($E$12*$E$19)/(ROUND(DATEDIF(EU6,$E$9,"d")/(365/12),0))),IF(AND(SUM($U$45:ET45)&gt;=1,EU6&lt;=$E$9),ET$12/(ROUND(DATEDIF(EU6,$E$9,"d")/(365/12),0)),0))</f>
        <v>0</v>
      </c>
      <c r="EV46" s="222">
        <f>IF(EV$45=1,IF($E$28&gt;0,$E$28,($E$12*$E$19)/(ROUND(DATEDIF(EV6,$E$9,"d")/(365/12),0))),IF(AND(SUM($U$45:EU45)&gt;=1,EV6&lt;=$E$9),EU$12/(ROUND(DATEDIF(EV6,$E$9,"d")/(365/12),0)),0))</f>
        <v>0</v>
      </c>
      <c r="EW46" s="222">
        <f>IF(EW$45=1,IF($E$28&gt;0,$E$28,($E$12*$E$19)/(ROUND(DATEDIF(EW6,$E$9,"d")/(365/12),0))),IF(AND(SUM($U$45:EV45)&gt;=1,EW6&lt;=$E$9),EV$12/(ROUND(DATEDIF(EW6,$E$9,"d")/(365/12),0)),0))</f>
        <v>0</v>
      </c>
      <c r="EX46" s="222">
        <f>IF(EX$45=1,IF($E$28&gt;0,$E$28,($E$12*$E$19)/(ROUND(DATEDIF(EX6,$E$9,"d")/(365/12),0))),IF(AND(SUM($U$45:EW45)&gt;=1,EX6&lt;=$E$9),EW$12/(ROUND(DATEDIF(EX6,$E$9,"d")/(365/12),0)),0))</f>
        <v>0</v>
      </c>
      <c r="EY46" s="222">
        <f>IF(EY$45=1,IF($E$28&gt;0,$E$28,($E$12*$E$19)/(ROUND(DATEDIF(EY6,$E$9,"d")/(365/12),0))),IF(AND(SUM($U$45:EX45)&gt;=1,EY6&lt;=$E$9),EX$12/(ROUND(DATEDIF(EY6,$E$9,"d")/(365/12),0)),0))</f>
        <v>0</v>
      </c>
      <c r="EZ46" s="222">
        <f>IF(EZ$45=1,IF($E$28&gt;0,$E$28,($E$12*$E$19)/(ROUND(DATEDIF(EZ6,$E$9,"d")/(365/12),0))),IF(AND(SUM($U$45:EY45)&gt;=1,EZ6&lt;=$E$9),EY$12/(ROUND(DATEDIF(EZ6,$E$9,"d")/(365/12),0)),0))</f>
        <v>0</v>
      </c>
      <c r="FA46" s="222">
        <f>IF(FA$45=1,IF($E$28&gt;0,$E$28,($E$12*$E$19)/(ROUND(DATEDIF(FA6,$E$9,"d")/(365/12),0))),IF(AND(SUM($U$45:EZ45)&gt;=1,FA6&lt;=$E$9),EZ$12/(ROUND(DATEDIF(FA6,$E$9,"d")/(365/12),0)),0))</f>
        <v>0</v>
      </c>
      <c r="FB46" s="222">
        <f>IF(FB$45=1,IF($E$28&gt;0,$E$28,($E$12*$E$19)/(ROUND(DATEDIF(FB6,$E$9,"d")/(365/12),0))),IF(AND(SUM($U$45:FA45)&gt;=1,FB6&lt;=$E$9),FA$12/(ROUND(DATEDIF(FB6,$E$9,"d")/(365/12),0)),0))</f>
        <v>0</v>
      </c>
      <c r="FC46" s="222">
        <f>IF(FC$45=1,IF($E$28&gt;0,$E$28,($E$12*$E$19)/(ROUND(DATEDIF(FC6,$E$9,"d")/(365/12),0))),IF(AND(SUM($U$45:FB45)&gt;=1,FC6&lt;=$E$9),FB$12/(ROUND(DATEDIF(FC6,$E$9,"d")/(365/12),0)),0))</f>
        <v>0</v>
      </c>
      <c r="FD46" s="222">
        <f>IF(FD$45=1,IF($E$28&gt;0,$E$28,($E$12*$E$19)/(ROUND(DATEDIF(FD6,$E$9,"d")/(365/12),0))),IF(AND(SUM($U$45:FC45)&gt;=1,FD6&lt;=$E$9),FC$12/(ROUND(DATEDIF(FD6,$E$9,"d")/(365/12),0)),0))</f>
        <v>0</v>
      </c>
      <c r="FE46" s="222">
        <f>IF(FE$45=1,IF($E$28&gt;0,$E$28,($E$12*$E$19)/(ROUND(DATEDIF(FE6,$E$9,"d")/(365/12),0))),IF(AND(SUM($U$45:FD45)&gt;=1,FE6&lt;=$E$9),FD$12/(ROUND(DATEDIF(FE6,$E$9,"d")/(365/12),0)),0))</f>
        <v>0</v>
      </c>
      <c r="FF46" s="222">
        <f>IF(FF$45=1,IF($E$28&gt;0,$E$28,($E$12*$E$19)/(ROUND(DATEDIF(FF6,$E$9,"d")/(365/12),0))),IF(AND(SUM($U$45:FE45)&gt;=1,FF6&lt;=$E$9),FE$12/(ROUND(DATEDIF(FF6,$E$9,"d")/(365/12),0)),0))</f>
        <v>0</v>
      </c>
      <c r="FG46" s="222">
        <f>IF(FG$45=1,IF($E$28&gt;0,$E$28,($E$12*$E$19)/(ROUND(DATEDIF(FG6,$E$9,"d")/(365/12),0))),IF(AND(SUM($U$45:FF45)&gt;=1,FG6&lt;=$E$9),FF$12/(ROUND(DATEDIF(FG6,$E$9,"d")/(365/12),0)),0))</f>
        <v>0</v>
      </c>
      <c r="FH46" s="222">
        <f>IF(FH$45=1,IF($E$28&gt;0,$E$28,($E$12*$E$19)/(ROUND(DATEDIF(FH6,$E$9,"d")/(365/12),0))),IF(AND(SUM($U$45:FG45)&gt;=1,FH6&lt;=$E$9),FG$12/(ROUND(DATEDIF(FH6,$E$9,"d")/(365/12),0)),0))</f>
        <v>0</v>
      </c>
      <c r="FI46" s="222">
        <f>IF(FI$45=1,IF($E$28&gt;0,$E$28,($E$12*$E$19)/(ROUND(DATEDIF(FI6,$E$9,"d")/(365/12),0))),IF(AND(SUM($U$45:FH45)&gt;=1,FI6&lt;=$E$9),FH$12/(ROUND(DATEDIF(FI6,$E$9,"d")/(365/12),0)),0))</f>
        <v>0</v>
      </c>
      <c r="FJ46" s="222">
        <f>IF(FJ$45=1,IF($E$28&gt;0,$E$28,($E$12*$E$19)/(ROUND(DATEDIF(FJ6,$E$9,"d")/(365/12),0))),IF(AND(SUM($U$45:FI45)&gt;=1,FJ6&lt;=$E$9),FI$12/(ROUND(DATEDIF(FJ6,$E$9,"d")/(365/12),0)),0))</f>
        <v>0</v>
      </c>
      <c r="FK46" s="222">
        <f>IF(FK$45=1,IF($E$28&gt;0,$E$28,($E$12*$E$19)/(ROUND(DATEDIF(FK6,$E$9,"d")/(365/12),0))),IF(AND(SUM($U$45:FJ45)&gt;=1,FK6&lt;=$E$9),FJ$12/(ROUND(DATEDIF(FK6,$E$9,"d")/(365/12),0)),0))</f>
        <v>0</v>
      </c>
      <c r="FL46" s="222">
        <f>IF(FL$45=1,IF($E$28&gt;0,$E$28,($E$12*$E$19)/(ROUND(DATEDIF(FL6,$E$9,"d")/(365/12),0))),IF(AND(SUM($U$45:FK45)&gt;=1,FL6&lt;=$E$9),FK$12/(ROUND(DATEDIF(FL6,$E$9,"d")/(365/12),0)),0))</f>
        <v>0</v>
      </c>
      <c r="FM46" s="222">
        <f>IF(FM$45=1,IF($E$28&gt;0,$E$28,($E$12*$E$19)/(ROUND(DATEDIF(FM6,$E$9,"d")/(365/12),0))),IF(AND(SUM($U$45:FL45)&gt;=1,FM6&lt;=$E$9),FL$12/(ROUND(DATEDIF(FM6,$E$9,"d")/(365/12),0)),0))</f>
        <v>0</v>
      </c>
      <c r="FN46" s="222">
        <f>IF(FN$45=1,IF($E$28&gt;0,$E$28,($E$12*$E$19)/(ROUND(DATEDIF(FN6,$E$9,"d")/(365/12),0))),IF(AND(SUM($U$45:FM45)&gt;=1,FN6&lt;=$E$9),FM$12/(ROUND(DATEDIF(FN6,$E$9,"d")/(365/12),0)),0))</f>
        <v>0</v>
      </c>
      <c r="FO46" s="222">
        <f>IF(FO$45=1,IF($E$28&gt;0,$E$28,($E$12*$E$19)/(ROUND(DATEDIF(FO6,$E$9,"d")/(365/12),0))),IF(AND(SUM($U$45:FN45)&gt;=1,FO6&lt;=$E$9),FN$12/(ROUND(DATEDIF(FO6,$E$9,"d")/(365/12),0)),0))</f>
        <v>0</v>
      </c>
      <c r="FP46" s="222">
        <f>IF(FP$45=1,IF($E$28&gt;0,$E$28,($E$12*$E$19)/(ROUND(DATEDIF(FP6,$E$9,"d")/(365/12),0))),IF(AND(SUM($U$45:FO45)&gt;=1,FP6&lt;=$E$9),FO$12/(ROUND(DATEDIF(FP6,$E$9,"d")/(365/12),0)),0))</f>
        <v>0</v>
      </c>
      <c r="FQ46" s="222">
        <f>IF(FQ$45=1,IF($E$28&gt;0,$E$28,($E$12*$E$19)/(ROUND(DATEDIF(FQ6,$E$9,"d")/(365/12),0))),IF(AND(SUM($U$45:FP45)&gt;=1,FQ6&lt;=$E$9),FP$12/(ROUND(DATEDIF(FQ6,$E$9,"d")/(365/12),0)),0))</f>
        <v>0</v>
      </c>
      <c r="FR46" s="222">
        <f>IF(FR$45=1,IF($E$28&gt;0,$E$28,($E$12*$E$19)/(ROUND(DATEDIF(FR6,$E$9,"d")/(365/12),0))),IF(AND(SUM($U$45:FQ45)&gt;=1,FR6&lt;=$E$9),FQ$12/(ROUND(DATEDIF(FR6,$E$9,"d")/(365/12),0)),0))</f>
        <v>0</v>
      </c>
      <c r="FS46" s="222">
        <f>IF(FS$45=1,IF($E$28&gt;0,$E$28,($E$12*$E$19)/(ROUND(DATEDIF(FS6,$E$9,"d")/(365/12),0))),IF(AND(SUM($U$45:FR45)&gt;=1,FS6&lt;=$E$9),FR$12/(ROUND(DATEDIF(FS6,$E$9,"d")/(365/12),0)),0))</f>
        <v>0</v>
      </c>
      <c r="FT46" s="222">
        <f>IF(FT$45=1,IF($E$28&gt;0,$E$28,($E$12*$E$19)/(ROUND(DATEDIF(FT6,$E$9,"d")/(365/12),0))),IF(AND(SUM($U$45:FS45)&gt;=1,FT6&lt;=$E$9),FS$12/(ROUND(DATEDIF(FT6,$E$9,"d")/(365/12),0)),0))</f>
        <v>0</v>
      </c>
      <c r="FU46" s="222">
        <f>IF(FU$45=1,IF($E$28&gt;0,$E$28,($E$12*$E$19)/(ROUND(DATEDIF(FU6,$E$9,"d")/(365/12),0))),IF(AND(SUM($U$45:FT45)&gt;=1,FU6&lt;=$E$9),FT$12/(ROUND(DATEDIF(FU6,$E$9,"d")/(365/12),0)),0))</f>
        <v>0</v>
      </c>
      <c r="FV46" s="222">
        <f>IF(FV$45=1,IF($E$28&gt;0,$E$28,($E$12*$E$19)/(ROUND(DATEDIF(FV6,$E$9,"d")/(365/12),0))),IF(AND(SUM($U$45:FU45)&gt;=1,FV6&lt;=$E$9),FU$12/(ROUND(DATEDIF(FV6,$E$9,"d")/(365/12),0)),0))</f>
        <v>0</v>
      </c>
      <c r="FW46" s="222">
        <f>IF(FW$45=1,IF($E$28&gt;0,$E$28,($E$12*$E$19)/(ROUND(DATEDIF(FW6,$E$9,"d")/(365/12),0))),IF(AND(SUM($U$45:FV45)&gt;=1,FW6&lt;=$E$9),FV$12/(ROUND(DATEDIF(FW6,$E$9,"d")/(365/12),0)),0))</f>
        <v>0</v>
      </c>
      <c r="FX46" s="222">
        <f>IF(FX$45=1,IF($E$28&gt;0,$E$28,($E$12*$E$19)/(ROUND(DATEDIF(FX6,$E$9,"d")/(365/12),0))),IF(AND(SUM($U$45:FW45)&gt;=1,FX6&lt;=$E$9),FW$12/(ROUND(DATEDIF(FX6,$E$9,"d")/(365/12),0)),0))</f>
        <v>0</v>
      </c>
      <c r="FY46" s="222">
        <f>IF(FY$45=1,IF($E$28&gt;0,$E$28,($E$12*$E$19)/(ROUND(DATEDIF(FY6,$E$9,"d")/(365/12),0))),IF(AND(SUM($U$45:FX45)&gt;=1,FY6&lt;=$E$9),FX$12/(ROUND(DATEDIF(FY6,$E$9,"d")/(365/12),0)),0))</f>
        <v>0</v>
      </c>
      <c r="FZ46" s="222">
        <f>IF(FZ$45=1,IF($E$28&gt;0,$E$28,($E$12*$E$19)/(ROUND(DATEDIF(FZ6,$E$9,"d")/(365/12),0))),IF(AND(SUM($U$45:FY45)&gt;=1,FZ6&lt;=$E$9),FY$12/(ROUND(DATEDIF(FZ6,$E$9,"d")/(365/12),0)),0))</f>
        <v>0</v>
      </c>
      <c r="GA46" s="222">
        <f>IF(GA$45=1,IF($E$28&gt;0,$E$28,($E$12*$E$19)/(ROUND(DATEDIF(GA6,$E$9,"d")/(365/12),0))),IF(AND(SUM($U$45:FZ45)&gt;=1,GA6&lt;=$E$9),FZ$12/(ROUND(DATEDIF(GA6,$E$9,"d")/(365/12),0)),0))</f>
        <v>0</v>
      </c>
      <c r="GB46" s="222">
        <f>IF(GB$45=1,IF($E$28&gt;0,$E$28,($E$12*$E$19)/(ROUND(DATEDIF(GB6,$E$9,"d")/(365/12),0))),IF(AND(SUM($U$45:GA45)&gt;=1,GB6&lt;=$E$9),GA$12/(ROUND(DATEDIF(GB6,$E$9,"d")/(365/12),0)),0))</f>
        <v>0</v>
      </c>
      <c r="GC46" s="222">
        <f>IF(GC$45=1,IF($E$28&gt;0,$E$28,($E$12*$E$19)/(ROUND(DATEDIF(GC6,$E$9,"d")/(365/12),0))),IF(AND(SUM($U$45:GB45)&gt;=1,GC6&lt;=$E$9),GB$12/(ROUND(DATEDIF(GC6,$E$9,"d")/(365/12),0)),0))</f>
        <v>0</v>
      </c>
      <c r="GD46" s="222">
        <f>IF(GD$45=1,IF($E$28&gt;0,$E$28,($E$12*$E$19)/(ROUND(DATEDIF(GD6,$E$9,"d")/(365/12),0))),IF(AND(SUM($U$45:GC45)&gt;=1,GD6&lt;=$E$9),GC$12/(ROUND(DATEDIF(GD6,$E$9,"d")/(365/12),0)),0))</f>
        <v>0</v>
      </c>
      <c r="GE46" s="222">
        <f>IF(GE$45=1,IF($E$28&gt;0,$E$28,($E$12*$E$19)/(ROUND(DATEDIF(GE6,$E$9,"d")/(365/12),0))),IF(AND(SUM($U$45:GD45)&gt;=1,GE6&lt;=$E$9),GD$12/(ROUND(DATEDIF(GE6,$E$9,"d")/(365/12),0)),0))</f>
        <v>0</v>
      </c>
      <c r="GF46" s="222">
        <f>IF(GF$45=1,IF($E$28&gt;0,$E$28,($E$12*$E$19)/(ROUND(DATEDIF(GF6,$E$9,"d")/(365/12),0))),IF(AND(SUM($U$45:GE45)&gt;=1,GF6&lt;=$E$9),GE$12/(ROUND(DATEDIF(GF6,$E$9,"d")/(365/12),0)),0))</f>
        <v>0</v>
      </c>
      <c r="GG46" s="222">
        <f>IF(GG$45=1,IF($E$28&gt;0,$E$28,($E$12*$E$19)/(ROUND(DATEDIF(GG6,$E$9,"d")/(365/12),0))),IF(AND(SUM($U$45:GF45)&gt;=1,GG6&lt;=$E$9),GF$12/(ROUND(DATEDIF(GG6,$E$9,"d")/(365/12),0)),0))</f>
        <v>0</v>
      </c>
      <c r="GH46" s="222">
        <f>IF(GH$45=1,IF($E$28&gt;0,$E$28,($E$12*$E$19)/(ROUND(DATEDIF(GH6,$E$9,"d")/(365/12),0))),IF(AND(SUM($U$45:GG45)&gt;=1,GH6&lt;=$E$9),GG$12/(ROUND(DATEDIF(GH6,$E$9,"d")/(365/12),0)),0))</f>
        <v>0</v>
      </c>
      <c r="GI46" s="222">
        <f>IF(GI$45=1,IF($E$28&gt;0,$E$28,($E$12*$E$19)/(ROUND(DATEDIF(GI6,$E$9,"d")/(365/12),0))),IF(AND(SUM($U$45:GH45)&gt;=1,GI6&lt;=$E$9),GH$12/(ROUND(DATEDIF(GI6,$E$9,"d")/(365/12),0)),0))</f>
        <v>0</v>
      </c>
      <c r="GJ46" s="222">
        <f>IF(GJ$45=1,IF($E$28&gt;0,$E$28,($E$12*$E$19)/(ROUND(DATEDIF(GJ6,$E$9,"d")/(365/12),0))),IF(AND(SUM($U$45:GI45)&gt;=1,GJ6&lt;=$E$9),GI$12/(ROUND(DATEDIF(GJ6,$E$9,"d")/(365/12),0)),0))</f>
        <v>0</v>
      </c>
      <c r="GK46" s="222">
        <f>IF(GK$45=1,IF($E$28&gt;0,$E$28,($E$12*$E$19)/(ROUND(DATEDIF(GK6,$E$9,"d")/(365/12),0))),IF(AND(SUM($U$45:GJ45)&gt;=1,GK6&lt;=$E$9),GJ$12/(ROUND(DATEDIF(GK6,$E$9,"d")/(365/12),0)),0))</f>
        <v>0</v>
      </c>
      <c r="GL46" s="222">
        <f>IF(GL$45=1,IF($E$28&gt;0,$E$28,($E$12*$E$19)/(ROUND(DATEDIF(GL6,$E$9,"d")/(365/12),0))),IF(AND(SUM($U$45:GK45)&gt;=1,GL6&lt;=$E$9),GK$12/(ROUND(DATEDIF(GL6,$E$9,"d")/(365/12),0)),0))</f>
        <v>0</v>
      </c>
      <c r="GM46" s="222">
        <f>IF(GM$45=1,IF($E$28&gt;0,$E$28,($E$12*$E$19)/(ROUND(DATEDIF(GM6,$E$9,"d")/(365/12),0))),IF(AND(SUM($U$45:GL45)&gt;=1,GM6&lt;=$E$9),GL$12/(ROUND(DATEDIF(GM6,$E$9,"d")/(365/12),0)),0))</f>
        <v>0</v>
      </c>
      <c r="GN46" s="222">
        <f>IF(GN$45=1,IF($E$28&gt;0,$E$28,($E$12*$E$19)/(ROUND(DATEDIF(GN6,$E$9,"d")/(365/12),0))),IF(AND(SUM($U$45:GM45)&gt;=1,GN6&lt;=$E$9),GM$12/(ROUND(DATEDIF(GN6,$E$9,"d")/(365/12),0)),0))</f>
        <v>0</v>
      </c>
      <c r="GO46" s="222">
        <f>IF(GO$45=1,IF($E$28&gt;0,$E$28,($E$12*$E$19)/(ROUND(DATEDIF(GO6,$E$9,"d")/(365/12),0))),IF(AND(SUM($U$45:GN45)&gt;=1,GO6&lt;=$E$9),GN$12/(ROUND(DATEDIF(GO6,$E$9,"d")/(365/12),0)),0))</f>
        <v>0</v>
      </c>
      <c r="GP46" s="222">
        <f>IF(GP$45=1,IF($E$28&gt;0,$E$28,($E$12*$E$19)/(ROUND(DATEDIF(GP6,$E$9,"d")/(365/12),0))),IF(AND(SUM($U$45:GO45)&gt;=1,GP6&lt;=$E$9),GO$12/(ROUND(DATEDIF(GP6,$E$9,"d")/(365/12),0)),0))</f>
        <v>0</v>
      </c>
      <c r="GQ46" s="222">
        <f>IF(GQ$45=1,IF($E$28&gt;0,$E$28,($E$12*$E$19)/(ROUND(DATEDIF(GQ6,$E$9,"d")/(365/12),0))),IF(AND(SUM($U$45:GP45)&gt;=1,GQ6&lt;=$E$9),GP$12/(ROUND(DATEDIF(GQ6,$E$9,"d")/(365/12),0)),0))</f>
        <v>0</v>
      </c>
      <c r="GR46" s="222">
        <f>IF(GR$45=1,IF($E$28&gt;0,$E$28,($E$12*$E$19)/(ROUND(DATEDIF(GR6,$E$9,"d")/(365/12),0))),IF(AND(SUM($U$45:GQ45)&gt;=1,GR6&lt;=$E$9),GQ$12/(ROUND(DATEDIF(GR6,$E$9,"d")/(365/12),0)),0))</f>
        <v>0</v>
      </c>
      <c r="GS46" s="222">
        <f>IF(GS$45=1,IF($E$28&gt;0,$E$28,($E$12*$E$19)/(ROUND(DATEDIF(GS6,$E$9,"d")/(365/12),0))),IF(AND(SUM($U$45:GR45)&gt;=1,GS6&lt;=$E$9),GR$12/(ROUND(DATEDIF(GS6,$E$9,"d")/(365/12),0)),0))</f>
        <v>0</v>
      </c>
      <c r="GT46" s="222">
        <f>IF(GT$45=1,IF($E$28&gt;0,$E$28,($E$12*$E$19)/(ROUND(DATEDIF(GT6,$E$9,"d")/(365/12),0))),IF(AND(SUM($U$45:GS45)&gt;=1,GT6&lt;=$E$9),GS$12/(ROUND(DATEDIF(GT6,$E$9,"d")/(365/12),0)),0))</f>
        <v>0</v>
      </c>
      <c r="GU46" s="222">
        <f>IF(GU$45=1,IF($E$28&gt;0,$E$28,($E$12*$E$19)/(ROUND(DATEDIF(GU6,$E$9,"d")/(365/12),0))),IF(AND(SUM($U$45:GT45)&gt;=1,GU6&lt;=$E$9),GT$12/(ROUND(DATEDIF(GU6,$E$9,"d")/(365/12),0)),0))</f>
        <v>0</v>
      </c>
      <c r="GV46" s="222">
        <f>IF(GV$45=1,IF($E$28&gt;0,$E$28,($E$12*$E$19)/(ROUND(DATEDIF(GV6,$E$9,"d")/(365/12),0))),IF(AND(SUM($U$45:GU45)&gt;=1,GV6&lt;=$E$9),GU$12/(ROUND(DATEDIF(GV6,$E$9,"d")/(365/12),0)),0))</f>
        <v>0</v>
      </c>
      <c r="GW46" s="222">
        <f>IF(GW$45=1,IF($E$28&gt;0,$E$28,($E$12*$E$19)/(ROUND(DATEDIF(GW6,$E$9,"d")/(365/12),0))),IF(AND(SUM($U$45:GV45)&gt;=1,GW6&lt;=$E$9),GV$12/(ROUND(DATEDIF(GW6,$E$9,"d")/(365/12),0)),0))</f>
        <v>0</v>
      </c>
      <c r="GX46" s="222">
        <f>IF(GX$45=1,IF($E$28&gt;0,$E$28,($E$12*$E$19)/(ROUND(DATEDIF(GX6,$E$9,"d")/(365/12),0))),IF(AND(SUM($U$45:GW45)&gt;=1,GX6&lt;=$E$9),GW$12/(ROUND(DATEDIF(GX6,$E$9,"d")/(365/12),0)),0))</f>
        <v>0</v>
      </c>
      <c r="GY46" s="222">
        <f>IF(GY$45=1,IF($E$28&gt;0,$E$28,($E$12*$E$19)/(ROUND(DATEDIF(GY6,$E$9,"d")/(365/12),0))),IF(AND(SUM($U$45:GX45)&gt;=1,GY6&lt;=$E$9),GX$12/(ROUND(DATEDIF(GY6,$E$9,"d")/(365/12),0)),0))</f>
        <v>0</v>
      </c>
      <c r="GZ46" s="222">
        <f>IF(GZ$45=1,IF($E$28&gt;0,$E$28,($E$12*$E$19)/(ROUND(DATEDIF(GZ6,$E$9,"d")/(365/12),0))),IF(AND(SUM($U$45:GY45)&gt;=1,GZ6&lt;=$E$9),GY$12/(ROUND(DATEDIF(GZ6,$E$9,"d")/(365/12),0)),0))</f>
        <v>0</v>
      </c>
      <c r="HA46" s="222">
        <f>IF(HA$45=1,IF($E$28&gt;0,$E$28,($E$12*$E$19)/(ROUND(DATEDIF(HA6,$E$9,"d")/(365/12),0))),IF(AND(SUM($U$45:GZ45)&gt;=1,HA6&lt;=$E$9),GZ$12/(ROUND(DATEDIF(HA6,$E$9,"d")/(365/12),0)),0))</f>
        <v>0</v>
      </c>
      <c r="HB46" s="222">
        <f>IF(HB$45=1,IF($E$28&gt;0,$E$28,($E$12*$E$19)/(ROUND(DATEDIF(HB6,$E$9,"d")/(365/12),0))),IF(AND(SUM($U$45:HA45)&gt;=1,HB6&lt;=$E$9),HA$12/(ROUND(DATEDIF(HB6,$E$9,"d")/(365/12),0)),0))</f>
        <v>0</v>
      </c>
      <c r="HC46" s="222">
        <f>IF(HC$45=1,IF($E$28&gt;0,$E$28,($E$12*$E$19)/(ROUND(DATEDIF(HC6,$E$9,"d")/(365/12),0))),IF(AND(SUM($U$45:HB45)&gt;=1,HC6&lt;=$E$9),HB$12/(ROUND(DATEDIF(HC6,$E$9,"d")/(365/12),0)),0))</f>
        <v>0</v>
      </c>
      <c r="HD46" s="222">
        <f>IF(HD$45=1,IF($E$28&gt;0,$E$28,($E$12*$E$19)/(ROUND(DATEDIF(HD6,$E$9,"d")/(365/12),0))),IF(AND(SUM($U$45:HC45)&gt;=1,HD6&lt;=$E$9),HC$12/(ROUND(DATEDIF(HD6,$E$9,"d")/(365/12),0)),0))</f>
        <v>0</v>
      </c>
      <c r="HE46" s="222">
        <f>IF(HE$45=1,IF($E$28&gt;0,$E$28,($E$12*$E$19)/(ROUND(DATEDIF(HE6,$E$9,"d")/(365/12),0))),IF(AND(SUM($U$45:HD45)&gt;=1,HE6&lt;=$E$9),HD$12/(ROUND(DATEDIF(HE6,$E$9,"d")/(365/12),0)),0))</f>
        <v>0</v>
      </c>
      <c r="HF46" s="222">
        <f>IF(HF$45=1,IF($E$28&gt;0,$E$28,($E$12*$E$19)/(ROUND(DATEDIF(HF6,$E$9,"d")/(365/12),0))),IF(AND(SUM($U$45:HE45)&gt;=1,HF6&lt;=$E$9),HE$12/(ROUND(DATEDIF(HF6,$E$9,"d")/(365/12),0)),0))</f>
        <v>0</v>
      </c>
      <c r="HG46" s="222">
        <f>IF(HG$45=1,IF($E$28&gt;0,$E$28,($E$12*$E$19)/(ROUND(DATEDIF(HG6,$E$9,"d")/(365/12),0))),IF(AND(SUM($U$45:HF45)&gt;=1,HG6&lt;=$E$9),HF$12/(ROUND(DATEDIF(HG6,$E$9,"d")/(365/12),0)),0))</f>
        <v>0</v>
      </c>
      <c r="HH46" s="222">
        <f>IF(HH$45=1,IF($E$28&gt;0,$E$28,($E$12*$E$19)/(ROUND(DATEDIF(HH6,$E$9,"d")/(365/12),0))),IF(AND(SUM($U$45:HG45)&gt;=1,HH6&lt;=$E$9),HG$12/(ROUND(DATEDIF(HH6,$E$9,"d")/(365/12),0)),0))</f>
        <v>0</v>
      </c>
      <c r="HI46" s="222">
        <f>IF(HI$45=1,IF($E$28&gt;0,$E$28,($E$12*$E$19)/(ROUND(DATEDIF(HI6,$E$9,"d")/(365/12),0))),IF(AND(SUM($U$45:HH45)&gt;=1,HI6&lt;=$E$9),HH$12/(ROUND(DATEDIF(HI6,$E$9,"d")/(365/12),0)),0))</f>
        <v>0</v>
      </c>
      <c r="HJ46" s="222">
        <f>IF(HJ$45=1,IF($E$28&gt;0,$E$28,($E$12*$E$19)/(ROUND(DATEDIF(HJ6,$E$9,"d")/(365/12),0))),IF(AND(SUM($U$45:HI45)&gt;=1,HJ6&lt;=$E$9),HI$12/(ROUND(DATEDIF(HJ6,$E$9,"d")/(365/12),0)),0))</f>
        <v>0</v>
      </c>
      <c r="HK46" s="222">
        <f>IF(HK$45=1,IF($E$28&gt;0,$E$28,($E$12*$E$19)/(ROUND(DATEDIF(HK6,$E$9,"d")/(365/12),0))),IF(AND(SUM($U$45:HJ45)&gt;=1,HK6&lt;=$E$9),HJ$12/(ROUND(DATEDIF(HK6,$E$9,"d")/(365/12),0)),0))</f>
        <v>0</v>
      </c>
      <c r="HL46" s="222">
        <f>IF(HL$45=1,IF($E$28&gt;0,$E$28,($E$12*$E$19)/(ROUND(DATEDIF(HL6,$E$9,"d")/(365/12),0))),IF(AND(SUM($U$45:HK45)&gt;=1,HL6&lt;=$E$9),HK$12/(ROUND(DATEDIF(HL6,$E$9,"d")/(365/12),0)),0))</f>
        <v>0</v>
      </c>
      <c r="HM46" s="222">
        <f>IF(HM$45=1,IF($E$28&gt;0,$E$28,($E$12*$E$19)/(ROUND(DATEDIF(HM6,$E$9,"d")/(365/12),0))),IF(AND(SUM($U$45:HL45)&gt;=1,HM6&lt;=$E$9),HL$12/(ROUND(DATEDIF(HM6,$E$9,"d")/(365/12),0)),0))</f>
        <v>0</v>
      </c>
      <c r="HN46" s="222">
        <f>IF(HN$45=1,IF($E$28&gt;0,$E$28,($E$12*$E$19)/(ROUND(DATEDIF(HN6,$E$9,"d")/(365/12),0))),IF(AND(SUM($U$45:HM45)&gt;=1,HN6&lt;=$E$9),HM$12/(ROUND(DATEDIF(HN6,$E$9,"d")/(365/12),0)),0))</f>
        <v>0</v>
      </c>
      <c r="HO46" s="222">
        <f>IF(HO$45=1,IF($E$28&gt;0,$E$28,($E$12*$E$19)/(ROUND(DATEDIF(HO6,$E$9,"d")/(365/12),0))),IF(AND(SUM($U$45:HN45)&gt;=1,HO6&lt;=$E$9),HN$12/(ROUND(DATEDIF(HO6,$E$9,"d")/(365/12),0)),0))</f>
        <v>0</v>
      </c>
      <c r="HP46" s="222">
        <f>IF(HP$45=1,IF($E$28&gt;0,$E$28,($E$12*$E$19)/(ROUND(DATEDIF(HP6,$E$9,"d")/(365/12),0))),IF(AND(SUM($U$45:HO45)&gt;=1,HP6&lt;=$E$9),HO$12/(ROUND(DATEDIF(HP6,$E$9,"d")/(365/12),0)),0))</f>
        <v>0</v>
      </c>
      <c r="HQ46" s="222">
        <f>IF(HQ$45=1,IF($E$28&gt;0,$E$28,($E$12*$E$19)/(ROUND(DATEDIF(HQ6,$E$9,"d")/(365/12),0))),IF(AND(SUM($U$45:HP45)&gt;=1,HQ6&lt;=$E$9),HP$12/(ROUND(DATEDIF(HQ6,$E$9,"d")/(365/12),0)),0))</f>
        <v>0</v>
      </c>
      <c r="HR46" s="222">
        <f>IF(HR$45=1,IF($E$28&gt;0,$E$28,($E$12*$E$19)/(ROUND(DATEDIF(HR6,$E$9,"d")/(365/12),0))),IF(AND(SUM($U$45:HQ45)&gt;=1,HR6&lt;=$E$9),HQ$12/(ROUND(DATEDIF(HR6,$E$9,"d")/(365/12),0)),0))</f>
        <v>0</v>
      </c>
      <c r="HS46" s="222">
        <f>IF(HS$45=1,IF($E$28&gt;0,$E$28,($E$12*$E$19)/(ROUND(DATEDIF(HS6,$E$9,"d")/(365/12),0))),IF(AND(SUM($U$45:HR45)&gt;=1,HS6&lt;=$E$9),HR$12/(ROUND(DATEDIF(HS6,$E$9,"d")/(365/12),0)),0))</f>
        <v>0</v>
      </c>
      <c r="HT46" s="222">
        <f>IF(HT$45=1,IF($E$28&gt;0,$E$28,($E$12*$E$19)/(ROUND(DATEDIF(HT6,$E$9,"d")/(365/12),0))),IF(AND(SUM($U$45:HS45)&gt;=1,HT6&lt;=$E$9),HS$12/(ROUND(DATEDIF(HT6,$E$9,"d")/(365/12),0)),0))</f>
        <v>0</v>
      </c>
      <c r="HU46" s="222">
        <f>IF(HU$45=1,IF($E$28&gt;0,$E$28,($E$12*$E$19)/(ROUND(DATEDIF(HU6,$E$9,"d")/(365/12),0))),IF(AND(SUM($U$45:HT45)&gt;=1,HU6&lt;=$E$9),HT$12/(ROUND(DATEDIF(HU6,$E$9,"d")/(365/12),0)),0))</f>
        <v>0</v>
      </c>
      <c r="HV46" s="222">
        <f>IF(HV$45=1,IF($E$28&gt;0,$E$28,($E$12*$E$19)/(ROUND(DATEDIF(HV6,$E$9,"d")/(365/12),0))),IF(AND(SUM($U$45:HU45)&gt;=1,HV6&lt;=$E$9),HU$12/(ROUND(DATEDIF(HV6,$E$9,"d")/(365/12),0)),0))</f>
        <v>0</v>
      </c>
      <c r="HW46" s="222">
        <f>IF(HW$45=1,IF($E$28&gt;0,$E$28,($E$12*$E$19)/(ROUND(DATEDIF(HW6,$E$9,"d")/(365/12),0))),IF(AND(SUM($U$45:HV45)&gt;=1,HW6&lt;=$E$9),HV$12/(ROUND(DATEDIF(HW6,$E$9,"d")/(365/12),0)),0))</f>
        <v>0</v>
      </c>
      <c r="HX46" s="222">
        <f>IF(HX$45=1,IF($E$28&gt;0,$E$28,($E$12*$E$19)/(ROUND(DATEDIF(HX6,$E$9,"d")/(365/12),0))),IF(AND(SUM($U$45:HW45)&gt;=1,HX6&lt;=$E$9),HW$12/(ROUND(DATEDIF(HX6,$E$9,"d")/(365/12),0)),0))</f>
        <v>0</v>
      </c>
      <c r="HY46" s="222">
        <f>IF(HY$45=1,IF($E$28&gt;0,$E$28,($E$12*$E$19)/(ROUND(DATEDIF(HY6,$E$9,"d")/(365/12),0))),IF(AND(SUM($U$45:HX45)&gt;=1,HY6&lt;=$E$9),HX$12/(ROUND(DATEDIF(HY6,$E$9,"d")/(365/12),0)),0))</f>
        <v>0</v>
      </c>
      <c r="HZ46" s="222">
        <f>IF(HZ$45=1,IF($E$28&gt;0,$E$28,($E$12*$E$19)/(ROUND(DATEDIF(HZ6,$E$9,"d")/(365/12),0))),IF(AND(SUM($U$45:HY45)&gt;=1,HZ6&lt;=$E$9),HY$12/(ROUND(DATEDIF(HZ6,$E$9,"d")/(365/12),0)),0))</f>
        <v>0</v>
      </c>
      <c r="IA46" s="222">
        <f>IF(IA$45=1,IF($E$28&gt;0,$E$28,($E$12*$E$19)/(ROUND(DATEDIF(IA6,$E$9,"d")/(365/12),0))),IF(AND(SUM($U$45:HZ45)&gt;=1,IA6&lt;=$E$9),HZ$12/(ROUND(DATEDIF(IA6,$E$9,"d")/(365/12),0)),0))</f>
        <v>0</v>
      </c>
      <c r="IB46" s="222">
        <f>IF(IB$45=1,IF($E$28&gt;0,$E$28,($E$12*$E$19)/(ROUND(DATEDIF(IB6,$E$9,"d")/(365/12),0))),IF(AND(SUM($U$45:IA45)&gt;=1,IB6&lt;=$E$9),IA$12/(ROUND(DATEDIF(IB6,$E$9,"d")/(365/12),0)),0))</f>
        <v>0</v>
      </c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</row>
    <row r="47" spans="1:251" ht="18" customHeight="1" x14ac:dyDescent="0.3">
      <c r="A47" s="218" t="s">
        <v>90</v>
      </c>
      <c r="D47" s="219" t="s">
        <v>91</v>
      </c>
      <c r="E47" s="42"/>
      <c r="F47" s="42"/>
      <c r="G47" s="220">
        <f>IF(E10&lt;=E11,0,1)</f>
        <v>0</v>
      </c>
      <c r="H47" s="25"/>
      <c r="L47" s="25"/>
      <c r="M47" s="25"/>
      <c r="N47" s="25"/>
      <c r="O47" s="25"/>
      <c r="P47" s="25"/>
      <c r="Q47" s="25"/>
      <c r="R47" s="25"/>
      <c r="S47" s="1"/>
      <c r="T47" s="136"/>
      <c r="U47" s="1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23"/>
      <c r="AY47" s="223"/>
      <c r="AZ47" s="223"/>
      <c r="BA47" s="223"/>
      <c r="BB47" s="223"/>
      <c r="BC47" s="223"/>
      <c r="BD47" s="223"/>
      <c r="BE47" s="223"/>
      <c r="BF47" s="223"/>
      <c r="BG47" s="223"/>
      <c r="BH47" s="223"/>
      <c r="BI47" s="223"/>
      <c r="BJ47" s="223"/>
      <c r="BK47" s="223"/>
      <c r="BL47" s="223"/>
      <c r="BM47" s="223"/>
      <c r="BN47" s="223"/>
      <c r="BO47" s="223"/>
      <c r="BP47" s="223"/>
      <c r="BQ47" s="223"/>
      <c r="BR47" s="223"/>
      <c r="BS47" s="223"/>
      <c r="BT47" s="223"/>
      <c r="BU47" s="223"/>
      <c r="BV47" s="223"/>
      <c r="BW47" s="223"/>
      <c r="BX47" s="223"/>
      <c r="BY47" s="223"/>
      <c r="BZ47" s="223"/>
      <c r="CA47" s="223"/>
      <c r="CB47" s="223"/>
      <c r="CC47" s="223"/>
      <c r="CD47" s="223"/>
      <c r="CE47" s="223"/>
      <c r="CF47" s="223"/>
      <c r="CG47" s="223"/>
      <c r="CH47" s="223"/>
      <c r="CI47" s="223"/>
      <c r="CJ47" s="223"/>
      <c r="CK47" s="223"/>
      <c r="CL47" s="223"/>
      <c r="CM47" s="223"/>
      <c r="CN47" s="223"/>
      <c r="CO47" s="223"/>
      <c r="CP47" s="223"/>
      <c r="CQ47" s="223"/>
      <c r="CR47" s="223"/>
      <c r="CS47" s="223"/>
      <c r="CT47" s="223"/>
      <c r="CU47" s="223"/>
      <c r="CV47" s="223"/>
      <c r="CW47" s="223"/>
      <c r="CX47" s="223"/>
      <c r="CY47" s="223"/>
      <c r="CZ47" s="223"/>
      <c r="DA47" s="223"/>
      <c r="DB47" s="223"/>
      <c r="DC47" s="223"/>
      <c r="DD47" s="223"/>
      <c r="DE47" s="223"/>
      <c r="DF47" s="223"/>
      <c r="DG47" s="223"/>
      <c r="DH47" s="223"/>
      <c r="DI47" s="223"/>
      <c r="DJ47" s="223"/>
      <c r="DK47" s="223"/>
      <c r="DL47" s="223"/>
      <c r="DM47" s="223"/>
      <c r="DN47" s="223"/>
      <c r="DO47" s="223"/>
      <c r="DP47" s="223"/>
      <c r="DQ47" s="223"/>
      <c r="DR47" s="223"/>
      <c r="DS47" s="223"/>
      <c r="DT47" s="223"/>
      <c r="DU47" s="223"/>
      <c r="DV47" s="223"/>
      <c r="DW47" s="223"/>
      <c r="DX47" s="223"/>
      <c r="DY47" s="223"/>
      <c r="DZ47" s="223"/>
      <c r="EA47" s="223"/>
      <c r="EB47" s="223"/>
      <c r="EC47" s="223"/>
      <c r="ED47" s="223"/>
      <c r="EE47" s="223"/>
      <c r="EF47" s="223"/>
      <c r="EG47" s="223"/>
      <c r="EH47" s="223"/>
      <c r="EI47" s="223"/>
      <c r="EJ47" s="223"/>
      <c r="EK47" s="223"/>
      <c r="EL47" s="223"/>
      <c r="EM47" s="223"/>
      <c r="EN47" s="223"/>
      <c r="EO47" s="223"/>
      <c r="EP47" s="223"/>
      <c r="EQ47" s="223"/>
      <c r="ER47" s="223"/>
      <c r="ES47" s="223"/>
      <c r="ET47" s="223"/>
      <c r="EU47" s="223"/>
      <c r="EV47" s="223"/>
      <c r="EW47" s="223"/>
      <c r="EX47" s="223"/>
      <c r="EY47" s="223"/>
      <c r="EZ47" s="223"/>
      <c r="FA47" s="223"/>
      <c r="FB47" s="223"/>
      <c r="FC47" s="223"/>
      <c r="FD47" s="223"/>
      <c r="FE47" s="223"/>
      <c r="FF47" s="223"/>
      <c r="FG47" s="223"/>
      <c r="FH47" s="223"/>
      <c r="FI47" s="223"/>
      <c r="FJ47" s="223"/>
      <c r="FK47" s="223"/>
      <c r="FL47" s="223"/>
      <c r="FM47" s="223"/>
      <c r="FN47" s="223"/>
      <c r="FO47" s="223"/>
      <c r="FP47" s="223"/>
      <c r="FQ47" s="223"/>
      <c r="FR47" s="223"/>
      <c r="FS47" s="223"/>
      <c r="FT47" s="223"/>
      <c r="FU47" s="223"/>
      <c r="FV47" s="223"/>
      <c r="FW47" s="223"/>
      <c r="FX47" s="223"/>
      <c r="FY47" s="223"/>
      <c r="FZ47" s="223"/>
      <c r="GA47" s="223"/>
      <c r="GB47" s="223"/>
      <c r="GC47" s="223"/>
      <c r="GD47" s="223"/>
      <c r="GE47" s="223"/>
      <c r="GF47" s="223"/>
      <c r="GG47" s="223"/>
      <c r="GH47" s="223"/>
      <c r="GI47" s="223"/>
      <c r="GJ47" s="223"/>
      <c r="GK47" s="223"/>
      <c r="GL47" s="223"/>
      <c r="GM47" s="223"/>
      <c r="GN47" s="223"/>
      <c r="GO47" s="223"/>
      <c r="GP47" s="223"/>
      <c r="GQ47" s="223"/>
      <c r="GR47" s="223"/>
      <c r="GS47" s="223"/>
      <c r="GT47" s="223"/>
      <c r="GU47" s="223"/>
      <c r="GV47" s="223"/>
      <c r="GW47" s="223"/>
      <c r="GX47" s="223"/>
      <c r="GY47" s="223"/>
      <c r="GZ47" s="223"/>
      <c r="HA47" s="223"/>
      <c r="HB47" s="223"/>
      <c r="HC47" s="223"/>
      <c r="HD47" s="223"/>
      <c r="HE47" s="223"/>
      <c r="HF47" s="223"/>
      <c r="HG47" s="223"/>
      <c r="HH47" s="223"/>
      <c r="HI47" s="223"/>
      <c r="HJ47" s="223"/>
      <c r="HK47" s="223"/>
      <c r="HL47" s="223"/>
      <c r="HM47" s="223"/>
      <c r="HN47" s="223"/>
      <c r="HO47" s="223"/>
      <c r="HP47" s="223"/>
      <c r="HQ47" s="223"/>
      <c r="HR47" s="223"/>
      <c r="HS47" s="223"/>
      <c r="HT47" s="223"/>
      <c r="HU47" s="223"/>
      <c r="HV47" s="223"/>
      <c r="HW47" s="223"/>
      <c r="HX47" s="223"/>
      <c r="HY47" s="223"/>
      <c r="HZ47" s="223"/>
      <c r="IA47" s="223"/>
      <c r="IB47" s="223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</row>
    <row r="48" spans="1:251" ht="18" customHeight="1" x14ac:dyDescent="0.3">
      <c r="A48" s="224">
        <v>50000</v>
      </c>
      <c r="D48" s="219" t="s">
        <v>92</v>
      </c>
      <c r="E48" s="42"/>
      <c r="F48" s="42"/>
      <c r="G48" s="220">
        <f>IF(E15&gt;=E17,0,1)</f>
        <v>0</v>
      </c>
      <c r="H48" s="25"/>
      <c r="Q48" s="225"/>
      <c r="R48" s="25"/>
      <c r="S48" s="1"/>
      <c r="T48" s="335"/>
      <c r="U48" s="58"/>
      <c r="V48" s="336"/>
      <c r="W48" s="336"/>
      <c r="X48" s="336"/>
      <c r="Y48" s="336"/>
      <c r="Z48" s="336"/>
      <c r="AA48" s="336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  <c r="GL48" s="58"/>
      <c r="GM48" s="58"/>
      <c r="GN48" s="58"/>
      <c r="GO48" s="58"/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8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58"/>
      <c r="HO48" s="58"/>
      <c r="HP48" s="58"/>
      <c r="HQ48" s="58"/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8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</row>
    <row r="49" spans="1:251" ht="18" customHeight="1" x14ac:dyDescent="0.3">
      <c r="D49" s="219" t="s">
        <v>93</v>
      </c>
      <c r="E49" s="42"/>
      <c r="F49" s="226" t="str">
        <f>IF(E11&gt;MAX(U7:IB7),0,IF(ABS((_xlfn.XLOOKUP(EOMONTH(E11,0),$U$7:$IB$7,$U$25:$IB$25,,0)))&gt;0,"Immaterial",""))</f>
        <v/>
      </c>
      <c r="G49" s="220">
        <f>IF(E11&gt;MAX(U7:IB7),0,IF(ABS(_xlfn.XLOOKUP(EOMONTH(E11,0),$U$7:$IB$7,$U$25:$IB$25,,0))&lt;=$A$48,0,1))</f>
        <v>0</v>
      </c>
      <c r="H49" s="25"/>
      <c r="S49" s="1"/>
      <c r="T49" s="337"/>
      <c r="U49" s="58"/>
      <c r="V49" s="130"/>
      <c r="W49" s="130"/>
      <c r="X49" s="130"/>
      <c r="Y49" s="130"/>
      <c r="Z49" s="130"/>
      <c r="AA49" s="130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  <c r="GL49" s="58"/>
      <c r="GM49" s="58"/>
      <c r="GN49" s="58"/>
      <c r="GO49" s="58"/>
      <c r="GP49" s="58"/>
      <c r="GQ49" s="58"/>
      <c r="GR49" s="58"/>
      <c r="GS49" s="58"/>
      <c r="GT49" s="58"/>
      <c r="GU49" s="58"/>
      <c r="GV49" s="58"/>
      <c r="GW49" s="58"/>
      <c r="GX49" s="58"/>
      <c r="GY49" s="58"/>
      <c r="GZ49" s="58"/>
      <c r="HA49" s="58"/>
      <c r="HB49" s="58"/>
      <c r="HC49" s="58"/>
      <c r="HD49" s="58"/>
      <c r="HE49" s="58"/>
      <c r="HF49" s="58"/>
      <c r="HG49" s="58"/>
      <c r="HH49" s="58"/>
      <c r="HI49" s="58"/>
      <c r="HJ49" s="58"/>
      <c r="HK49" s="58"/>
      <c r="HL49" s="58"/>
      <c r="HM49" s="58"/>
      <c r="HN49" s="58"/>
      <c r="HO49" s="58"/>
      <c r="HP49" s="58"/>
      <c r="HQ49" s="58"/>
      <c r="HR49" s="58"/>
      <c r="HS49" s="58"/>
      <c r="HT49" s="58"/>
      <c r="HU49" s="58"/>
      <c r="HV49" s="58"/>
      <c r="HW49" s="58"/>
      <c r="HX49" s="58"/>
      <c r="HY49" s="58"/>
      <c r="HZ49" s="58"/>
      <c r="IA49" s="58"/>
      <c r="IB49" s="58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</row>
    <row r="50" spans="1:251" s="228" customFormat="1" ht="18" customHeight="1" x14ac:dyDescent="0.3">
      <c r="A50" s="1"/>
      <c r="B50"/>
      <c r="C50"/>
      <c r="D50" s="219" t="s">
        <v>94</v>
      </c>
      <c r="E50" s="42"/>
      <c r="F50" s="42"/>
      <c r="G50" s="220" cm="1">
        <f t="array" ref="G50">IF(SUMPRODUCT(($J$17:$P$17=YEAR($E$9))*1,$J$25:$P$25)=0,0,1)</f>
        <v>0</v>
      </c>
      <c r="H50" s="25"/>
      <c r="I50"/>
      <c r="J50"/>
      <c r="K50"/>
      <c r="L50"/>
      <c r="M50"/>
      <c r="N50"/>
      <c r="O50"/>
      <c r="P50"/>
      <c r="Q50"/>
      <c r="R50"/>
      <c r="S50" s="1"/>
      <c r="T50" s="337"/>
      <c r="U50" s="58"/>
      <c r="V50" s="130"/>
      <c r="W50" s="130"/>
      <c r="X50" s="130"/>
      <c r="Y50" s="130"/>
      <c r="Z50" s="130"/>
      <c r="AA50" s="130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  <c r="GL50" s="58"/>
      <c r="GM50" s="58"/>
      <c r="GN50" s="58"/>
      <c r="GO50" s="58"/>
      <c r="GP50" s="58"/>
      <c r="GQ50" s="58"/>
      <c r="GR50" s="58"/>
      <c r="GS50" s="58"/>
      <c r="GT50" s="58"/>
      <c r="GU50" s="58"/>
      <c r="GV50" s="58"/>
      <c r="GW50" s="58"/>
      <c r="GX50" s="58"/>
      <c r="GY50" s="58"/>
      <c r="GZ50" s="58"/>
      <c r="HA50" s="58"/>
      <c r="HB50" s="58"/>
      <c r="HC50" s="58"/>
      <c r="HD50" s="58"/>
      <c r="HE50" s="58"/>
      <c r="HF50" s="58"/>
      <c r="HG50" s="58"/>
      <c r="HH50" s="58"/>
      <c r="HI50" s="58"/>
      <c r="HJ50" s="58"/>
      <c r="HK50" s="58"/>
      <c r="HL50" s="58"/>
      <c r="HM50" s="58"/>
      <c r="HN50" s="58"/>
      <c r="HO50" s="58"/>
      <c r="HP50" s="58"/>
      <c r="HQ50" s="58"/>
      <c r="HR50" s="58"/>
      <c r="HS50" s="58"/>
      <c r="HT50" s="58"/>
      <c r="HU50" s="58"/>
      <c r="HV50" s="58"/>
      <c r="HW50" s="58"/>
      <c r="HX50" s="58"/>
      <c r="HY50" s="58"/>
      <c r="HZ50" s="58"/>
      <c r="IA50" s="58"/>
      <c r="IB50" s="58"/>
      <c r="IC50" s="227"/>
      <c r="ID50" s="227"/>
      <c r="IE50" s="227"/>
      <c r="IF50" s="227"/>
      <c r="IG50" s="227"/>
      <c r="IH50" s="227"/>
      <c r="II50" s="227"/>
      <c r="IJ50" s="227"/>
      <c r="IK50" s="227"/>
      <c r="IL50" s="227"/>
      <c r="IM50" s="227"/>
      <c r="IN50" s="227"/>
      <c r="IO50" s="227"/>
      <c r="IP50" s="227"/>
      <c r="IQ50" s="227"/>
    </row>
    <row r="51" spans="1:251" s="228" customFormat="1" ht="18" customHeight="1" x14ac:dyDescent="0.3">
      <c r="A51" s="229"/>
      <c r="B51" s="230"/>
      <c r="C51"/>
      <c r="D51" s="219" t="s">
        <v>95</v>
      </c>
      <c r="E51" s="42"/>
      <c r="F51" s="42"/>
      <c r="G51" s="220">
        <f>IF(T1=0,0,1)</f>
        <v>0</v>
      </c>
      <c r="H51" s="25"/>
      <c r="S51" s="1"/>
      <c r="T51" s="337"/>
      <c r="U51" s="58"/>
      <c r="V51" s="130"/>
      <c r="W51" s="130"/>
      <c r="X51" s="130"/>
      <c r="Y51" s="130"/>
      <c r="Z51" s="130"/>
      <c r="AA51" s="130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  <c r="GL51" s="58"/>
      <c r="GM51" s="58"/>
      <c r="GN51" s="58"/>
      <c r="GO51" s="58"/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8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58"/>
      <c r="HO51" s="58"/>
      <c r="HP51" s="58"/>
      <c r="HQ51" s="58"/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8"/>
      <c r="IC51" s="227"/>
      <c r="ID51" s="227"/>
      <c r="IE51" s="227"/>
      <c r="IF51" s="227"/>
      <c r="IG51" s="227"/>
      <c r="IH51" s="227"/>
      <c r="II51" s="227"/>
      <c r="IJ51" s="227"/>
      <c r="IK51" s="227"/>
      <c r="IL51" s="227"/>
      <c r="IM51" s="227"/>
      <c r="IN51" s="227"/>
      <c r="IO51" s="227"/>
      <c r="IP51" s="227"/>
      <c r="IQ51" s="227"/>
    </row>
    <row r="52" spans="1:251" s="228" customFormat="1" ht="18" customHeight="1" x14ac:dyDescent="0.3">
      <c r="A52" s="231"/>
      <c r="B52" s="232"/>
      <c r="C52" s="230"/>
      <c r="D52" s="219" t="s">
        <v>96</v>
      </c>
      <c r="E52" s="42"/>
      <c r="F52" s="42"/>
      <c r="G52" s="220">
        <f>IF(SUM(J29:O29)=0,0,1)</f>
        <v>0</v>
      </c>
      <c r="H52" s="1"/>
      <c r="S52" s="1"/>
      <c r="T52" s="337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  <c r="GL52" s="58"/>
      <c r="GM52" s="58"/>
      <c r="GN52" s="58"/>
      <c r="GO52" s="58"/>
      <c r="GP52" s="58"/>
      <c r="GQ52" s="58"/>
      <c r="GR52" s="58"/>
      <c r="GS52" s="58"/>
      <c r="GT52" s="58"/>
      <c r="GU52" s="58"/>
      <c r="GV52" s="58"/>
      <c r="GW52" s="58"/>
      <c r="GX52" s="58"/>
      <c r="GY52" s="58"/>
      <c r="GZ52" s="58"/>
      <c r="HA52" s="58"/>
      <c r="HB52" s="58"/>
      <c r="HC52" s="58"/>
      <c r="HD52" s="58"/>
      <c r="HE52" s="58"/>
      <c r="HF52" s="58"/>
      <c r="HG52" s="58"/>
      <c r="HH52" s="58"/>
      <c r="HI52" s="58"/>
      <c r="HJ52" s="58"/>
      <c r="HK52" s="58"/>
      <c r="HL52" s="58"/>
      <c r="HM52" s="58"/>
      <c r="HN52" s="58"/>
      <c r="HO52" s="58"/>
      <c r="HP52" s="58"/>
      <c r="HQ52" s="58"/>
      <c r="HR52" s="58"/>
      <c r="HS52" s="58"/>
      <c r="HT52" s="58"/>
      <c r="HU52" s="58"/>
      <c r="HV52" s="58"/>
      <c r="HW52" s="58"/>
      <c r="HX52" s="58"/>
      <c r="HY52" s="58"/>
      <c r="HZ52" s="58"/>
      <c r="IA52" s="58"/>
      <c r="IB52" s="58"/>
      <c r="IC52" s="227"/>
      <c r="ID52" s="227"/>
      <c r="IE52" s="227"/>
      <c r="IF52" s="227"/>
      <c r="IG52" s="227"/>
      <c r="IH52" s="227"/>
      <c r="II52" s="227"/>
      <c r="IJ52" s="227"/>
      <c r="IK52" s="227"/>
      <c r="IL52" s="227"/>
      <c r="IM52" s="227"/>
      <c r="IN52" s="227"/>
      <c r="IO52" s="227"/>
      <c r="IP52" s="227"/>
      <c r="IQ52" s="227"/>
    </row>
    <row r="53" spans="1:251" s="228" customFormat="1" ht="18" customHeight="1" x14ac:dyDescent="0.3">
      <c r="A53" s="227"/>
      <c r="C53" s="232"/>
      <c r="D53" s="219" t="s">
        <v>97</v>
      </c>
      <c r="E53" s="42"/>
      <c r="F53" s="42"/>
      <c r="G53" s="220">
        <v>0</v>
      </c>
      <c r="R53" s="25"/>
      <c r="S53" s="1"/>
      <c r="T53" s="337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  <c r="GL53" s="58"/>
      <c r="GM53" s="58"/>
      <c r="GN53" s="58"/>
      <c r="GO53" s="58"/>
      <c r="GP53" s="58"/>
      <c r="GQ53" s="58"/>
      <c r="GR53" s="58"/>
      <c r="GS53" s="58"/>
      <c r="GT53" s="58"/>
      <c r="GU53" s="58"/>
      <c r="GV53" s="58"/>
      <c r="GW53" s="58"/>
      <c r="GX53" s="58"/>
      <c r="GY53" s="58"/>
      <c r="GZ53" s="58"/>
      <c r="HA53" s="58"/>
      <c r="HB53" s="58"/>
      <c r="HC53" s="58"/>
      <c r="HD53" s="58"/>
      <c r="HE53" s="58"/>
      <c r="HF53" s="58"/>
      <c r="HG53" s="58"/>
      <c r="HH53" s="58"/>
      <c r="HI53" s="58"/>
      <c r="HJ53" s="58"/>
      <c r="HK53" s="58"/>
      <c r="HL53" s="58"/>
      <c r="HM53" s="58"/>
      <c r="HN53" s="58"/>
      <c r="HO53" s="58"/>
      <c r="HP53" s="58"/>
      <c r="HQ53" s="58"/>
      <c r="HR53" s="58"/>
      <c r="HS53" s="58"/>
      <c r="HT53" s="58"/>
      <c r="HU53" s="58"/>
      <c r="HV53" s="58"/>
      <c r="HW53" s="58"/>
      <c r="HX53" s="58"/>
      <c r="HY53" s="58"/>
      <c r="HZ53" s="58"/>
      <c r="IA53" s="58"/>
      <c r="IB53" s="58"/>
      <c r="IC53" s="227"/>
      <c r="ID53" s="227"/>
      <c r="IE53" s="227"/>
      <c r="IF53" s="227"/>
      <c r="IG53" s="227"/>
      <c r="IH53" s="227"/>
      <c r="II53" s="227"/>
      <c r="IJ53" s="227"/>
      <c r="IK53" s="227"/>
      <c r="IL53" s="227"/>
      <c r="IM53" s="227"/>
      <c r="IN53" s="227"/>
      <c r="IO53" s="227"/>
      <c r="IP53" s="227"/>
      <c r="IQ53" s="227"/>
    </row>
    <row r="54" spans="1:251" s="228" customFormat="1" ht="18" customHeight="1" x14ac:dyDescent="0.3">
      <c r="A54" s="227"/>
      <c r="D54" s="219" t="s">
        <v>98</v>
      </c>
      <c r="E54" s="25"/>
      <c r="F54" s="233" t="str">
        <f>+IF(G54=1,"Known Calculation Issue","")</f>
        <v/>
      </c>
      <c r="G54" s="220">
        <f>IF(MAX(0,J26:P26,)-MIN(0,J25:P25)&gt;0,1,0)</f>
        <v>0</v>
      </c>
      <c r="R54" s="25"/>
      <c r="S54" s="227"/>
      <c r="T54" s="136"/>
      <c r="U54" s="58"/>
      <c r="V54" s="234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  <c r="GL54" s="58"/>
      <c r="GM54" s="58"/>
      <c r="GN54" s="58"/>
      <c r="GO54" s="58"/>
      <c r="GP54" s="58"/>
      <c r="GQ54" s="58"/>
      <c r="GR54" s="58"/>
      <c r="GS54" s="58"/>
      <c r="GT54" s="58"/>
      <c r="GU54" s="58"/>
      <c r="GV54" s="58"/>
      <c r="GW54" s="58"/>
      <c r="GX54" s="58"/>
      <c r="GY54" s="58"/>
      <c r="GZ54" s="58"/>
      <c r="HA54" s="58"/>
      <c r="HB54" s="58"/>
      <c r="HC54" s="58"/>
      <c r="HD54" s="58"/>
      <c r="HE54" s="58"/>
      <c r="HF54" s="58"/>
      <c r="HG54" s="58"/>
      <c r="HH54" s="58"/>
      <c r="HI54" s="58"/>
      <c r="HJ54" s="58"/>
      <c r="HK54" s="58"/>
      <c r="HL54" s="58"/>
      <c r="HM54" s="58"/>
      <c r="HN54" s="58"/>
      <c r="HO54" s="58"/>
      <c r="HP54" s="58"/>
      <c r="HQ54" s="58"/>
      <c r="HR54" s="58"/>
      <c r="HS54" s="58"/>
      <c r="HT54" s="58"/>
      <c r="HU54" s="58"/>
      <c r="HV54" s="58"/>
      <c r="HW54" s="58"/>
      <c r="HX54" s="58"/>
      <c r="HY54" s="58"/>
      <c r="HZ54" s="58"/>
      <c r="IA54" s="58"/>
      <c r="IB54" s="58"/>
      <c r="IC54" s="227"/>
      <c r="ID54" s="227"/>
      <c r="IE54" s="227"/>
      <c r="IF54" s="227"/>
      <c r="IG54" s="227"/>
      <c r="IH54" s="227"/>
      <c r="II54" s="227"/>
      <c r="IJ54" s="227"/>
      <c r="IK54" s="227"/>
      <c r="IL54" s="227"/>
      <c r="IM54" s="227"/>
      <c r="IN54" s="227"/>
      <c r="IO54" s="227"/>
      <c r="IP54" s="227"/>
      <c r="IQ54" s="227"/>
    </row>
    <row r="55" spans="1:251" s="228" customFormat="1" ht="18" customHeight="1" x14ac:dyDescent="0.3">
      <c r="A55" s="227"/>
      <c r="B55" s="235"/>
      <c r="D55" s="219" t="s">
        <v>99</v>
      </c>
      <c r="G55" s="220">
        <f>IF(AND(E27&gt;0,E27&lt;=$F$1),1,0)</f>
        <v>0</v>
      </c>
      <c r="R55" s="25"/>
      <c r="S55" s="227"/>
      <c r="T55" s="324" t="s">
        <v>139</v>
      </c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  <c r="GL55" s="58"/>
      <c r="GM55" s="58"/>
      <c r="GN55" s="58"/>
      <c r="GO55" s="58"/>
      <c r="GP55" s="58"/>
      <c r="GQ55" s="58"/>
      <c r="GR55" s="58"/>
      <c r="GS55" s="58"/>
      <c r="GT55" s="58"/>
      <c r="GU55" s="58"/>
      <c r="GV55" s="58"/>
      <c r="GW55" s="58"/>
      <c r="GX55" s="58"/>
      <c r="GY55" s="58"/>
      <c r="GZ55" s="58"/>
      <c r="HA55" s="58"/>
      <c r="HB55" s="58"/>
      <c r="HC55" s="58"/>
      <c r="HD55" s="58"/>
      <c r="HE55" s="58"/>
      <c r="HF55" s="58"/>
      <c r="HG55" s="58"/>
      <c r="HH55" s="58"/>
      <c r="HI55" s="58"/>
      <c r="HJ55" s="58"/>
      <c r="HK55" s="58"/>
      <c r="HL55" s="58"/>
      <c r="HM55" s="58"/>
      <c r="HN55" s="58"/>
      <c r="HO55" s="58"/>
      <c r="HP55" s="58"/>
      <c r="HQ55" s="58"/>
      <c r="HR55" s="58"/>
      <c r="HS55" s="58"/>
      <c r="HT55" s="58"/>
      <c r="HU55" s="58"/>
      <c r="HV55" s="58"/>
      <c r="HW55" s="58"/>
      <c r="HX55" s="58"/>
      <c r="HY55" s="58"/>
      <c r="HZ55" s="58"/>
      <c r="IA55" s="58"/>
      <c r="IB55" s="58"/>
      <c r="IC55" s="227"/>
      <c r="ID55" s="227"/>
      <c r="IE55" s="227"/>
      <c r="IF55" s="227"/>
      <c r="IG55" s="227"/>
      <c r="IH55" s="227"/>
      <c r="II55" s="227"/>
      <c r="IJ55" s="227"/>
      <c r="IK55" s="227"/>
      <c r="IL55" s="227"/>
      <c r="IM55" s="227"/>
      <c r="IN55" s="227"/>
      <c r="IO55" s="227"/>
      <c r="IP55" s="227"/>
      <c r="IQ55" s="227"/>
    </row>
    <row r="56" spans="1:251" s="228" customFormat="1" ht="18" customHeight="1" x14ac:dyDescent="0.3">
      <c r="A56" s="236"/>
      <c r="B56" s="235"/>
      <c r="C56" s="235"/>
      <c r="D56" s="219" t="s">
        <v>100</v>
      </c>
      <c r="G56" s="220">
        <f>IF(AND(E29&gt;0,E29&lt;=$F$1),1,0)</f>
        <v>0</v>
      </c>
      <c r="R56" s="25"/>
      <c r="S56" s="227"/>
      <c r="T56" s="334" t="s">
        <v>101</v>
      </c>
      <c r="U56" s="237">
        <f>IF(U35=0,XIRR(V35:IB35,U7:IB7),XIRR($U$35:$IB$35,U7:IB7))</f>
        <v>0.14289249777793886</v>
      </c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  <c r="GX56" s="34"/>
      <c r="GY56" s="34"/>
      <c r="GZ56" s="34"/>
      <c r="HA56" s="34"/>
      <c r="HB56" s="34"/>
      <c r="HC56" s="34"/>
      <c r="HD56" s="34"/>
      <c r="HE56" s="34"/>
      <c r="HF56" s="34"/>
      <c r="HG56" s="34"/>
      <c r="HH56" s="34"/>
      <c r="HI56" s="34"/>
      <c r="HJ56" s="34"/>
      <c r="HK56" s="34"/>
      <c r="HL56" s="34"/>
      <c r="HM56" s="34"/>
      <c r="HN56" s="34"/>
      <c r="HO56" s="34"/>
      <c r="HP56" s="34"/>
      <c r="HQ56" s="34"/>
      <c r="HR56" s="34"/>
      <c r="HS56" s="34"/>
      <c r="HT56" s="34"/>
      <c r="HU56" s="34"/>
      <c r="HV56" s="34"/>
      <c r="HW56" s="34"/>
      <c r="HX56" s="34"/>
      <c r="HY56" s="34"/>
      <c r="HZ56" s="34"/>
      <c r="IA56" s="34"/>
      <c r="IB56" s="34"/>
      <c r="IC56" s="238"/>
      <c r="ID56" s="227"/>
      <c r="IE56" s="227"/>
      <c r="IF56" s="227"/>
      <c r="IG56" s="227"/>
      <c r="IH56" s="227"/>
      <c r="II56" s="227"/>
      <c r="IJ56" s="227"/>
      <c r="IK56" s="227"/>
      <c r="IL56" s="227"/>
      <c r="IM56" s="227"/>
      <c r="IN56" s="227"/>
      <c r="IO56" s="227"/>
      <c r="IP56" s="227"/>
      <c r="IQ56" s="227"/>
    </row>
    <row r="57" spans="1:251" s="228" customFormat="1" ht="18" customHeight="1" x14ac:dyDescent="0.3">
      <c r="A57" s="239"/>
      <c r="B57" s="240"/>
      <c r="C57" s="235"/>
      <c r="D57" s="165"/>
      <c r="E57" s="25"/>
      <c r="F57" s="25"/>
      <c r="G57" s="25"/>
      <c r="R57" s="25"/>
      <c r="S57" s="227"/>
      <c r="T57" s="334" t="s">
        <v>102</v>
      </c>
      <c r="U57" s="237">
        <f>IF(U35=0,XIRR(V58:AH58,V7:AH7),XIRR(U58:AG58,U7:AG7))</f>
        <v>0.13350577950477602</v>
      </c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/>
      <c r="FW57" s="34"/>
      <c r="FX57" s="34"/>
      <c r="FY57" s="34"/>
      <c r="FZ57" s="34"/>
      <c r="GA57" s="34"/>
      <c r="GB57" s="34"/>
      <c r="GC57" s="34"/>
      <c r="GD57" s="34"/>
      <c r="GE57" s="34"/>
      <c r="GF57" s="34"/>
      <c r="GG57" s="34"/>
      <c r="GH57" s="34"/>
      <c r="GI57" s="34"/>
      <c r="GJ57" s="34"/>
      <c r="GK57" s="34"/>
      <c r="GL57" s="34"/>
      <c r="GM57" s="34"/>
      <c r="GN57" s="34"/>
      <c r="GO57" s="34"/>
      <c r="GP57" s="34"/>
      <c r="GQ57" s="34"/>
      <c r="GR57" s="34"/>
      <c r="GS57" s="34"/>
      <c r="GT57" s="34"/>
      <c r="GU57" s="34"/>
      <c r="GV57" s="34"/>
      <c r="GW57" s="34"/>
      <c r="GX57" s="34"/>
      <c r="GY57" s="34"/>
      <c r="GZ57" s="34"/>
      <c r="HA57" s="34"/>
      <c r="HB57" s="34"/>
      <c r="HC57" s="34"/>
      <c r="HD57" s="34"/>
      <c r="HE57" s="34"/>
      <c r="HF57" s="34"/>
      <c r="HG57" s="34"/>
      <c r="HH57" s="34"/>
      <c r="HI57" s="34"/>
      <c r="HJ57" s="34"/>
      <c r="HK57" s="34"/>
      <c r="HL57" s="34"/>
      <c r="HM57" s="34"/>
      <c r="HN57" s="34"/>
      <c r="HO57" s="34"/>
      <c r="HP57" s="34"/>
      <c r="HQ57" s="34"/>
      <c r="HR57" s="34"/>
      <c r="HS57" s="34"/>
      <c r="HT57" s="34"/>
      <c r="HU57" s="34"/>
      <c r="HV57" s="34"/>
      <c r="HW57" s="34"/>
      <c r="HX57" s="34"/>
      <c r="HY57" s="34"/>
      <c r="HZ57" s="34"/>
      <c r="IA57" s="34"/>
      <c r="IB57" s="34"/>
      <c r="IC57" s="241"/>
      <c r="ID57" s="227"/>
      <c r="IE57" s="227"/>
      <c r="IF57" s="227"/>
      <c r="IG57" s="227"/>
      <c r="IH57" s="227"/>
      <c r="II57" s="227"/>
      <c r="IJ57" s="227"/>
      <c r="IK57" s="227"/>
      <c r="IL57" s="227"/>
      <c r="IM57" s="227"/>
      <c r="IN57" s="227"/>
      <c r="IO57" s="227"/>
      <c r="IP57" s="227"/>
      <c r="IQ57" s="227"/>
    </row>
    <row r="58" spans="1:251" s="228" customFormat="1" ht="18" customHeight="1" x14ac:dyDescent="0.3">
      <c r="A58" s="239"/>
      <c r="B58" s="240"/>
      <c r="C58" s="240"/>
      <c r="D58"/>
      <c r="E58"/>
      <c r="F58"/>
      <c r="G58"/>
      <c r="R58" s="25"/>
      <c r="S58" s="227"/>
      <c r="T58" s="334" t="s">
        <v>103</v>
      </c>
      <c r="U58" s="58">
        <f t="shared" ref="U58:AF58" si="132">U35</f>
        <v>-102430077.03</v>
      </c>
      <c r="V58" s="58">
        <f t="shared" si="132"/>
        <v>-5443239.1031658715</v>
      </c>
      <c r="W58" s="58">
        <f t="shared" si="132"/>
        <v>-5400048.5765044186</v>
      </c>
      <c r="X58" s="58">
        <f t="shared" si="132"/>
        <v>-5356657.8619250134</v>
      </c>
      <c r="Y58" s="58">
        <f t="shared" si="132"/>
        <v>-5313065.9293240923</v>
      </c>
      <c r="Z58" s="58">
        <f t="shared" si="132"/>
        <v>-5269271.7432975033</v>
      </c>
      <c r="AA58" s="58">
        <f t="shared" si="132"/>
        <v>-5225274.2631132361</v>
      </c>
      <c r="AB58" s="58">
        <f t="shared" si="132"/>
        <v>-5181072.4426840022</v>
      </c>
      <c r="AC58" s="58">
        <f t="shared" si="132"/>
        <v>-5136665.2305396777</v>
      </c>
      <c r="AD58" s="58">
        <f t="shared" si="132"/>
        <v>-5092051.5697996076</v>
      </c>
      <c r="AE58" s="58">
        <f t="shared" si="132"/>
        <v>-5047230.3981447658</v>
      </c>
      <c r="AF58" s="58">
        <f t="shared" si="132"/>
        <v>-5002200.6477897679</v>
      </c>
      <c r="AG58" s="58">
        <f>AG25-AG16-AG22-AG15</f>
        <v>177393462.45177343</v>
      </c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  <c r="GV58" s="34"/>
      <c r="GW58" s="34"/>
      <c r="GX58" s="34"/>
      <c r="GY58" s="34"/>
      <c r="GZ58" s="34"/>
      <c r="HA58" s="34"/>
      <c r="HB58" s="34"/>
      <c r="HC58" s="34"/>
      <c r="HD58" s="34"/>
      <c r="HE58" s="34"/>
      <c r="HF58" s="34"/>
      <c r="HG58" s="34"/>
      <c r="HH58" s="34"/>
      <c r="HI58" s="34"/>
      <c r="HJ58" s="34"/>
      <c r="HK58" s="34"/>
      <c r="HL58" s="34"/>
      <c r="HM58" s="34"/>
      <c r="HN58" s="34"/>
      <c r="HO58" s="34"/>
      <c r="HP58" s="34"/>
      <c r="HQ58" s="34"/>
      <c r="HR58" s="34"/>
      <c r="HS58" s="34"/>
      <c r="HT58" s="34"/>
      <c r="HU58" s="34"/>
      <c r="HV58" s="34"/>
      <c r="HW58" s="34"/>
      <c r="HX58" s="34"/>
      <c r="HY58" s="34"/>
      <c r="HZ58" s="34"/>
      <c r="IA58" s="34"/>
      <c r="IB58" s="34"/>
      <c r="IC58" s="227"/>
      <c r="ID58" s="227"/>
      <c r="IE58" s="227"/>
      <c r="IF58" s="227"/>
      <c r="IG58" s="227"/>
      <c r="IH58" s="227"/>
      <c r="II58" s="227"/>
      <c r="IJ58" s="227"/>
      <c r="IK58" s="227"/>
      <c r="IL58" s="227"/>
      <c r="IM58" s="227"/>
      <c r="IN58" s="227"/>
      <c r="IO58" s="227"/>
      <c r="IP58" s="227"/>
      <c r="IQ58" s="227"/>
    </row>
    <row r="59" spans="1:251" s="228" customFormat="1" ht="18" customHeight="1" x14ac:dyDescent="0.3">
      <c r="A59" s="239"/>
      <c r="B59" s="240"/>
      <c r="C59" s="240"/>
      <c r="D59"/>
      <c r="E59"/>
      <c r="F59"/>
      <c r="G59" s="242" t="s">
        <v>104</v>
      </c>
      <c r="R59" s="25"/>
      <c r="S59" s="227"/>
      <c r="T59" s="334" t="s">
        <v>105</v>
      </c>
      <c r="U59" s="243">
        <f>SUM(V60:DG60)/12</f>
        <v>2.6712543666530451</v>
      </c>
      <c r="V59" s="243"/>
      <c r="W59" s="243"/>
      <c r="X59" s="243"/>
      <c r="Y59" s="243"/>
      <c r="Z59" s="243"/>
      <c r="AA59" s="243"/>
      <c r="AB59" s="243"/>
      <c r="AC59" s="243"/>
      <c r="AD59" s="243"/>
      <c r="AE59" s="243"/>
      <c r="AF59" s="243"/>
      <c r="AG59" s="243"/>
      <c r="AH59" s="243"/>
      <c r="AI59" s="243"/>
      <c r="AJ59" s="243"/>
      <c r="AK59" s="243"/>
      <c r="AL59" s="243"/>
      <c r="AM59" s="243"/>
      <c r="AN59" s="243"/>
      <c r="AO59" s="243"/>
      <c r="AP59" s="243"/>
      <c r="AQ59" s="243"/>
      <c r="AR59" s="243"/>
      <c r="AS59" s="243"/>
      <c r="AT59" s="243"/>
      <c r="AU59" s="243"/>
      <c r="AV59" s="243"/>
      <c r="AW59" s="243"/>
      <c r="AX59" s="243"/>
      <c r="AY59" s="243"/>
      <c r="AZ59" s="243"/>
      <c r="BA59" s="243"/>
      <c r="BB59" s="243"/>
      <c r="BC59" s="243"/>
      <c r="BD59" s="243"/>
      <c r="BE59" s="243"/>
      <c r="BF59" s="243"/>
      <c r="BG59" s="243"/>
      <c r="BH59" s="243"/>
      <c r="BI59" s="243"/>
      <c r="BJ59" s="243"/>
      <c r="BK59" s="243"/>
      <c r="BL59" s="243"/>
      <c r="BM59" s="243"/>
      <c r="BN59" s="243"/>
      <c r="BO59" s="243"/>
      <c r="BP59" s="243"/>
      <c r="BQ59" s="243"/>
      <c r="BR59" s="243"/>
      <c r="BS59" s="243"/>
      <c r="BT59" s="243"/>
      <c r="BU59" s="243"/>
      <c r="BV59" s="243"/>
      <c r="BW59" s="243"/>
      <c r="BX59" s="243"/>
      <c r="BY59" s="243"/>
      <c r="BZ59" s="243"/>
      <c r="CA59" s="243"/>
      <c r="CB59" s="243"/>
      <c r="CC59" s="243"/>
      <c r="CD59" s="243"/>
      <c r="CE59" s="243"/>
      <c r="CF59" s="243"/>
      <c r="CG59" s="243"/>
      <c r="CH59" s="243"/>
      <c r="CI59" s="243"/>
      <c r="CJ59" s="243"/>
      <c r="CK59" s="243"/>
      <c r="CL59" s="243"/>
      <c r="CM59" s="243"/>
      <c r="CN59" s="243"/>
      <c r="CO59" s="243"/>
      <c r="CP59" s="243"/>
      <c r="CQ59" s="243"/>
      <c r="CR59" s="243"/>
      <c r="CS59" s="243"/>
      <c r="CT59" s="243"/>
      <c r="CU59" s="243"/>
      <c r="CV59" s="243"/>
      <c r="CW59" s="243"/>
      <c r="CX59" s="243"/>
      <c r="CY59" s="243"/>
      <c r="CZ59" s="243"/>
      <c r="DA59" s="243"/>
      <c r="DB59" s="243"/>
      <c r="DC59" s="243"/>
      <c r="DD59" s="243"/>
      <c r="DE59" s="243"/>
      <c r="DF59" s="243"/>
      <c r="DG59" s="243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  <c r="HB59" s="34"/>
      <c r="HC59" s="34"/>
      <c r="HD59" s="34"/>
      <c r="HE59" s="34"/>
      <c r="HF59" s="34"/>
      <c r="HG59" s="34"/>
      <c r="HH59" s="34"/>
      <c r="HI59" s="34"/>
      <c r="HJ59" s="34"/>
      <c r="HK59" s="34"/>
      <c r="HL59" s="34"/>
      <c r="HM59" s="34"/>
      <c r="HN59" s="34"/>
      <c r="HO59" s="34"/>
      <c r="HP59" s="34"/>
      <c r="HQ59" s="34"/>
      <c r="HR59" s="34"/>
      <c r="HS59" s="34"/>
      <c r="HT59" s="34"/>
      <c r="HU59" s="34"/>
      <c r="HV59" s="34"/>
      <c r="HW59" s="34"/>
      <c r="HX59" s="34"/>
      <c r="HY59" s="34"/>
      <c r="HZ59" s="34"/>
      <c r="IA59" s="34"/>
      <c r="IB59" s="34"/>
      <c r="IC59" s="227"/>
      <c r="ID59" s="227"/>
      <c r="IE59" s="227"/>
      <c r="IF59" s="227"/>
      <c r="IG59" s="227"/>
      <c r="IH59" s="227"/>
      <c r="II59" s="227"/>
      <c r="IJ59" s="227"/>
      <c r="IK59" s="227"/>
      <c r="IL59" s="227"/>
      <c r="IM59" s="227"/>
      <c r="IN59" s="227"/>
      <c r="IO59" s="227"/>
      <c r="IP59" s="227"/>
      <c r="IQ59" s="227"/>
    </row>
    <row r="60" spans="1:251" s="228" customFormat="1" ht="18" customHeight="1" x14ac:dyDescent="0.3">
      <c r="A60" s="239"/>
      <c r="B60" s="244"/>
      <c r="C60" s="240"/>
      <c r="R60" s="25"/>
      <c r="S60" s="227"/>
      <c r="T60" s="334" t="s">
        <v>106</v>
      </c>
      <c r="U60" s="34"/>
      <c r="V60" s="243">
        <f t="shared" ref="V60:CG60" si="133">IF(V35&lt;0,-V35/SUMIF($V$35:$IB$35,"&lt;"&amp;0),V35/SUMIF($V$35:$IB$35,"&gt;"&amp;0))*V5</f>
        <v>-5.9682282170367022E-2</v>
      </c>
      <c r="W60" s="243">
        <f t="shared" si="133"/>
        <v>-0.11841744107444345</v>
      </c>
      <c r="X60" s="243">
        <f t="shared" si="133"/>
        <v>-0.176198891843415</v>
      </c>
      <c r="Y60" s="243">
        <f t="shared" si="133"/>
        <v>-0.23302000443027088</v>
      </c>
      <c r="Z60" s="243">
        <f t="shared" si="133"/>
        <v>-0.28887410331921271</v>
      </c>
      <c r="AA60" s="243">
        <f t="shared" si="133"/>
        <v>-0.34375446723326963</v>
      </c>
      <c r="AB60" s="243">
        <f t="shared" si="133"/>
        <v>-0.39765432884010787</v>
      </c>
      <c r="AC60" s="243">
        <f t="shared" si="133"/>
        <v>-0.45056687445602428</v>
      </c>
      <c r="AD60" s="243">
        <f t="shared" si="133"/>
        <v>-0.50248524374811332</v>
      </c>
      <c r="AE60" s="243">
        <f t="shared" si="133"/>
        <v>-0.55340252943459656</v>
      </c>
      <c r="AF60" s="243">
        <f t="shared" si="133"/>
        <v>-0.60331177698330218</v>
      </c>
      <c r="AG60" s="243">
        <f t="shared" si="133"/>
        <v>-0.65220598430828569</v>
      </c>
      <c r="AH60" s="243">
        <f t="shared" si="133"/>
        <v>-0.70007810146457861</v>
      </c>
      <c r="AI60" s="243">
        <f t="shared" si="133"/>
        <v>-0.74692103034105628</v>
      </c>
      <c r="AJ60" s="243">
        <f t="shared" si="133"/>
        <v>-0.79272762435141186</v>
      </c>
      <c r="AK60" s="243">
        <f t="shared" si="133"/>
        <v>-0.8374906881232218</v>
      </c>
      <c r="AL60" s="243">
        <f t="shared" si="133"/>
        <v>-0.88120297718509744</v>
      </c>
      <c r="AM60" s="243">
        <f t="shared" si="133"/>
        <v>-0.92385719765191299</v>
      </c>
      <c r="AN60" s="243">
        <f t="shared" si="133"/>
        <v>9.6463603418798796E-2</v>
      </c>
      <c r="AO60" s="243">
        <f t="shared" si="133"/>
        <v>0.10201056725163035</v>
      </c>
      <c r="AP60" s="243">
        <f t="shared" si="133"/>
        <v>0.10760706331940988</v>
      </c>
      <c r="AQ60" s="243">
        <f t="shared" si="133"/>
        <v>0.11325346802753451</v>
      </c>
      <c r="AR60" s="243">
        <f t="shared" si="133"/>
        <v>0.11895016034360985</v>
      </c>
      <c r="AS60" s="243">
        <f t="shared" si="133"/>
        <v>0.1246975218138523</v>
      </c>
      <c r="AT60" s="243">
        <f t="shared" si="133"/>
        <v>0.13049593657959188</v>
      </c>
      <c r="AU60" s="243">
        <f t="shared" si="133"/>
        <v>0.13634579139387717</v>
      </c>
      <c r="AV60" s="243">
        <f t="shared" si="133"/>
        <v>0.14224747563818205</v>
      </c>
      <c r="AW60" s="243">
        <f t="shared" si="133"/>
        <v>0.14820138133921518</v>
      </c>
      <c r="AX60" s="243">
        <f t="shared" si="133"/>
        <v>0.15420790318583324</v>
      </c>
      <c r="AY60" s="243">
        <f t="shared" si="133"/>
        <v>0.16026743854605782</v>
      </c>
      <c r="AZ60" s="243">
        <f t="shared" si="133"/>
        <v>1.2283786767417155</v>
      </c>
      <c r="BA60" s="243">
        <f t="shared" si="133"/>
        <v>1.2667206417711008</v>
      </c>
      <c r="BB60" s="243">
        <f t="shared" si="133"/>
        <v>1.3049446774040354</v>
      </c>
      <c r="BC60" s="243">
        <f t="shared" si="133"/>
        <v>1.3430469702876364</v>
      </c>
      <c r="BD60" s="243">
        <f t="shared" si="133"/>
        <v>1.3810236589938401</v>
      </c>
      <c r="BE60" s="243">
        <f t="shared" si="133"/>
        <v>1.4188708335699034</v>
      </c>
      <c r="BF60" s="243">
        <f t="shared" si="133"/>
        <v>1.4565845350852691</v>
      </c>
      <c r="BG60" s="243">
        <f t="shared" si="133"/>
        <v>1.4941607551747624</v>
      </c>
      <c r="BH60" s="243">
        <f t="shared" si="133"/>
        <v>1.5315954355780923</v>
      </c>
      <c r="BI60" s="243">
        <f t="shared" si="133"/>
        <v>1.5688844676756339</v>
      </c>
      <c r="BJ60" s="243">
        <f t="shared" si="133"/>
        <v>1.6060236920204627</v>
      </c>
      <c r="BK60" s="243">
        <f t="shared" si="133"/>
        <v>1.6430088978666075</v>
      </c>
      <c r="BL60" s="243">
        <f t="shared" si="133"/>
        <v>1.6798358226935026</v>
      </c>
      <c r="BM60" s="243">
        <f t="shared" si="133"/>
        <v>1.7165001517266087</v>
      </c>
      <c r="BN60" s="243">
        <f t="shared" si="133"/>
        <v>1.7529975174541661</v>
      </c>
      <c r="BO60" s="243">
        <f t="shared" si="133"/>
        <v>1.7893234991400626</v>
      </c>
      <c r="BP60" s="243">
        <f t="shared" si="133"/>
        <v>1.8254736223327845</v>
      </c>
      <c r="BQ60" s="243">
        <f t="shared" si="133"/>
        <v>1.8614433583704162</v>
      </c>
      <c r="BR60" s="243">
        <f t="shared" si="133"/>
        <v>1.897228123881662</v>
      </c>
      <c r="BS60" s="243">
        <f t="shared" si="133"/>
        <v>1.9328232802828673</v>
      </c>
      <c r="BT60" s="243">
        <f t="shared" si="133"/>
        <v>1.968224133271</v>
      </c>
      <c r="BU60" s="243">
        <f t="shared" si="133"/>
        <v>2.0034259323125654</v>
      </c>
      <c r="BV60" s="243">
        <f t="shared" si="133"/>
        <v>2.0384238701284287</v>
      </c>
      <c r="BW60" s="243">
        <f t="shared" si="133"/>
        <v>2.0732130821745098</v>
      </c>
      <c r="BX60" s="243">
        <f t="shared" si="133"/>
        <v>0</v>
      </c>
      <c r="BY60" s="243">
        <f t="shared" si="133"/>
        <v>0</v>
      </c>
      <c r="BZ60" s="243">
        <f t="shared" si="133"/>
        <v>0</v>
      </c>
      <c r="CA60" s="243">
        <f t="shared" si="133"/>
        <v>0</v>
      </c>
      <c r="CB60" s="243">
        <f t="shared" si="133"/>
        <v>0</v>
      </c>
      <c r="CC60" s="243">
        <f t="shared" si="133"/>
        <v>0</v>
      </c>
      <c r="CD60" s="243">
        <f t="shared" si="133"/>
        <v>0</v>
      </c>
      <c r="CE60" s="243">
        <f t="shared" si="133"/>
        <v>0</v>
      </c>
      <c r="CF60" s="243">
        <f t="shared" si="133"/>
        <v>0</v>
      </c>
      <c r="CG60" s="243">
        <f t="shared" si="133"/>
        <v>0</v>
      </c>
      <c r="CH60" s="243">
        <f t="shared" ref="CH60:DG60" si="134">IF(CH35&lt;0,-CH35/SUMIF($V$35:$IB$35,"&lt;"&amp;0),CH35/SUMIF($V$35:$IB$35,"&gt;"&amp;0))*CH5</f>
        <v>0</v>
      </c>
      <c r="CI60" s="243">
        <f t="shared" si="134"/>
        <v>0</v>
      </c>
      <c r="CJ60" s="243">
        <f t="shared" si="134"/>
        <v>0</v>
      </c>
      <c r="CK60" s="243">
        <f t="shared" si="134"/>
        <v>0</v>
      </c>
      <c r="CL60" s="243">
        <f t="shared" si="134"/>
        <v>0</v>
      </c>
      <c r="CM60" s="243">
        <f t="shared" si="134"/>
        <v>0</v>
      </c>
      <c r="CN60" s="243">
        <f t="shared" si="134"/>
        <v>0</v>
      </c>
      <c r="CO60" s="243">
        <f t="shared" si="134"/>
        <v>0</v>
      </c>
      <c r="CP60" s="243">
        <f t="shared" si="134"/>
        <v>0</v>
      </c>
      <c r="CQ60" s="243">
        <f t="shared" si="134"/>
        <v>0</v>
      </c>
      <c r="CR60" s="243">
        <f t="shared" si="134"/>
        <v>0</v>
      </c>
      <c r="CS60" s="243">
        <f t="shared" si="134"/>
        <v>0</v>
      </c>
      <c r="CT60" s="243">
        <f t="shared" si="134"/>
        <v>0</v>
      </c>
      <c r="CU60" s="243">
        <f t="shared" si="134"/>
        <v>0</v>
      </c>
      <c r="CV60" s="243">
        <f t="shared" si="134"/>
        <v>0</v>
      </c>
      <c r="CW60" s="243">
        <f t="shared" si="134"/>
        <v>0</v>
      </c>
      <c r="CX60" s="243">
        <f t="shared" si="134"/>
        <v>0</v>
      </c>
      <c r="CY60" s="243">
        <f t="shared" si="134"/>
        <v>0</v>
      </c>
      <c r="CZ60" s="243">
        <f t="shared" si="134"/>
        <v>0</v>
      </c>
      <c r="DA60" s="243">
        <f t="shared" si="134"/>
        <v>0</v>
      </c>
      <c r="DB60" s="243">
        <f t="shared" si="134"/>
        <v>0</v>
      </c>
      <c r="DC60" s="243">
        <f t="shared" si="134"/>
        <v>0</v>
      </c>
      <c r="DD60" s="243">
        <f t="shared" si="134"/>
        <v>0</v>
      </c>
      <c r="DE60" s="243">
        <f t="shared" si="134"/>
        <v>0</v>
      </c>
      <c r="DF60" s="243">
        <f t="shared" si="134"/>
        <v>0</v>
      </c>
      <c r="DG60" s="243">
        <f t="shared" si="134"/>
        <v>0</v>
      </c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  <c r="GV60" s="34"/>
      <c r="GW60" s="34"/>
      <c r="GX60" s="34"/>
      <c r="GY60" s="34"/>
      <c r="GZ60" s="34"/>
      <c r="HA60" s="34"/>
      <c r="HB60" s="34"/>
      <c r="HC60" s="34"/>
      <c r="HD60" s="34"/>
      <c r="HE60" s="34"/>
      <c r="HF60" s="34"/>
      <c r="HG60" s="34"/>
      <c r="HH60" s="34"/>
      <c r="HI60" s="34"/>
      <c r="HJ60" s="34"/>
      <c r="HK60" s="34"/>
      <c r="HL60" s="34"/>
      <c r="HM60" s="34"/>
      <c r="HN60" s="34"/>
      <c r="HO60" s="34"/>
      <c r="HP60" s="34"/>
      <c r="HQ60" s="34"/>
      <c r="HR60" s="34"/>
      <c r="HS60" s="34"/>
      <c r="HT60" s="34"/>
      <c r="HU60" s="34"/>
      <c r="HV60" s="34"/>
      <c r="HW60" s="34"/>
      <c r="HX60" s="34"/>
      <c r="HY60" s="34"/>
      <c r="HZ60" s="34"/>
      <c r="IA60" s="34"/>
      <c r="IB60" s="34"/>
      <c r="IC60" s="227"/>
      <c r="ID60" s="227"/>
      <c r="IE60" s="227"/>
      <c r="IF60" s="227"/>
      <c r="IG60" s="227"/>
      <c r="IH60" s="227"/>
      <c r="II60" s="227"/>
      <c r="IJ60" s="227"/>
      <c r="IK60" s="227"/>
      <c r="IL60" s="227"/>
      <c r="IM60" s="227"/>
      <c r="IN60" s="227"/>
      <c r="IO60" s="227"/>
      <c r="IP60" s="227"/>
      <c r="IQ60" s="227"/>
    </row>
    <row r="61" spans="1:251" s="228" customFormat="1" ht="18" customHeight="1" x14ac:dyDescent="0.3">
      <c r="A61" s="239"/>
      <c r="B61" s="244"/>
      <c r="C61" s="244"/>
      <c r="D61" s="25"/>
      <c r="E61" s="25"/>
      <c r="F61" s="25"/>
      <c r="G61" s="25"/>
      <c r="R61" s="25"/>
      <c r="S61" s="227"/>
      <c r="T61" s="334" t="s">
        <v>107</v>
      </c>
      <c r="U61" s="58">
        <f t="shared" ref="U61:CF61" si="135">U35</f>
        <v>-102430077.03</v>
      </c>
      <c r="V61" s="58">
        <f t="shared" si="135"/>
        <v>-5443239.1031658715</v>
      </c>
      <c r="W61" s="58">
        <f t="shared" si="135"/>
        <v>-5400048.5765044186</v>
      </c>
      <c r="X61" s="58">
        <f t="shared" si="135"/>
        <v>-5356657.8619250134</v>
      </c>
      <c r="Y61" s="58">
        <f t="shared" si="135"/>
        <v>-5313065.9293240923</v>
      </c>
      <c r="Z61" s="58">
        <f t="shared" si="135"/>
        <v>-5269271.7432975033</v>
      </c>
      <c r="AA61" s="58">
        <f t="shared" si="135"/>
        <v>-5225274.2631132361</v>
      </c>
      <c r="AB61" s="58">
        <f t="shared" si="135"/>
        <v>-5181072.4426840022</v>
      </c>
      <c r="AC61" s="58">
        <f t="shared" si="135"/>
        <v>-5136665.2305396777</v>
      </c>
      <c r="AD61" s="58">
        <f t="shared" si="135"/>
        <v>-5092051.5697996076</v>
      </c>
      <c r="AE61" s="58">
        <f t="shared" si="135"/>
        <v>-5047230.3981447658</v>
      </c>
      <c r="AF61" s="58">
        <f t="shared" si="135"/>
        <v>-5002200.6477897679</v>
      </c>
      <c r="AG61" s="58">
        <f t="shared" si="135"/>
        <v>-4956961.2454547435</v>
      </c>
      <c r="AH61" s="58">
        <f t="shared" si="135"/>
        <v>-4911511.1123370621</v>
      </c>
      <c r="AI61" s="58">
        <f t="shared" si="135"/>
        <v>-4865849.1640829211</v>
      </c>
      <c r="AJ61" s="58">
        <f t="shared" si="135"/>
        <v>-4819974.3107587844</v>
      </c>
      <c r="AK61" s="58">
        <f t="shared" si="135"/>
        <v>-4773885.4568226505</v>
      </c>
      <c r="AL61" s="58">
        <f t="shared" si="135"/>
        <v>-4727581.5010951981</v>
      </c>
      <c r="AM61" s="58">
        <f t="shared" si="135"/>
        <v>-4681061.3367307996</v>
      </c>
      <c r="AN61" s="58">
        <f t="shared" si="135"/>
        <v>1480671.8693671708</v>
      </c>
      <c r="AO61" s="58">
        <f t="shared" si="135"/>
        <v>1487524.4481519077</v>
      </c>
      <c r="AP61" s="58">
        <f t="shared" si="135"/>
        <v>1494412.2881347334</v>
      </c>
      <c r="AQ61" s="58">
        <f t="shared" si="135"/>
        <v>1501335.5707585954</v>
      </c>
      <c r="AR61" s="58">
        <f t="shared" si="135"/>
        <v>1508294.4784000884</v>
      </c>
      <c r="AS61" s="58">
        <f t="shared" si="135"/>
        <v>1515289.1943742603</v>
      </c>
      <c r="AT61" s="58">
        <f t="shared" si="135"/>
        <v>1522319.9029394388</v>
      </c>
      <c r="AU61" s="58">
        <f t="shared" si="135"/>
        <v>1529386.7893020874</v>
      </c>
      <c r="AV61" s="58">
        <f t="shared" si="135"/>
        <v>1536490.0396216835</v>
      </c>
      <c r="AW61" s="58">
        <f t="shared" si="135"/>
        <v>1543629.8410156213</v>
      </c>
      <c r="AX61" s="58">
        <f t="shared" si="135"/>
        <v>1550806.3815641426</v>
      </c>
      <c r="AY61" s="58">
        <f t="shared" si="135"/>
        <v>1558019.8503152903</v>
      </c>
      <c r="AZ61" s="58">
        <f t="shared" si="135"/>
        <v>11556318.972292947</v>
      </c>
      <c r="BA61" s="58">
        <f t="shared" si="135"/>
        <v>11544624.581424627</v>
      </c>
      <c r="BB61" s="58">
        <f t="shared" si="135"/>
        <v>11532596.727089258</v>
      </c>
      <c r="BC61" s="58">
        <f t="shared" si="135"/>
        <v>11520232.122799015</v>
      </c>
      <c r="BD61" s="58">
        <f t="shared" si="135"/>
        <v>11507527.457073089</v>
      </c>
      <c r="BE61" s="58">
        <f t="shared" si="135"/>
        <v>11494479.393267496</v>
      </c>
      <c r="BF61" s="58">
        <f t="shared" si="135"/>
        <v>11481084.569403786</v>
      </c>
      <c r="BG61" s="58">
        <f t="shared" si="135"/>
        <v>11467339.597996682</v>
      </c>
      <c r="BH61" s="58">
        <f t="shared" si="135"/>
        <v>11453241.065880574</v>
      </c>
      <c r="BI61" s="58">
        <f t="shared" si="135"/>
        <v>11438785.534034947</v>
      </c>
      <c r="BJ61" s="58">
        <f t="shared" si="135"/>
        <v>11423969.537408674</v>
      </c>
      <c r="BK61" s="58">
        <f t="shared" si="135"/>
        <v>11408789.584743164</v>
      </c>
      <c r="BL61" s="58">
        <f t="shared" si="135"/>
        <v>11393242.158394419</v>
      </c>
      <c r="BM61" s="58">
        <f t="shared" si="135"/>
        <v>11377323.714153927</v>
      </c>
      <c r="BN61" s="58">
        <f t="shared" si="135"/>
        <v>11361030.681068417</v>
      </c>
      <c r="BO61" s="58">
        <f t="shared" si="135"/>
        <v>11344359.461258456</v>
      </c>
      <c r="BP61" s="58">
        <f t="shared" si="135"/>
        <v>11327306.429735908</v>
      </c>
      <c r="BQ61" s="58">
        <f t="shared" si="135"/>
        <v>11309867.934220206</v>
      </c>
      <c r="BR61" s="58">
        <f t="shared" si="135"/>
        <v>11292040.294953449</v>
      </c>
      <c r="BS61" s="58">
        <f t="shared" si="135"/>
        <v>11273819.804514347</v>
      </c>
      <c r="BT61" s="58">
        <f t="shared" si="135"/>
        <v>11255202.727630945</v>
      </c>
      <c r="BU61" s="58">
        <f t="shared" si="135"/>
        <v>11236185.30099217</v>
      </c>
      <c r="BV61" s="58">
        <f t="shared" si="135"/>
        <v>11216763.733058181</v>
      </c>
      <c r="BW61" s="58">
        <f t="shared" si="135"/>
        <v>11196934.203869488</v>
      </c>
      <c r="BX61" s="58">
        <f t="shared" si="135"/>
        <v>0</v>
      </c>
      <c r="BY61" s="58">
        <f t="shared" si="135"/>
        <v>0</v>
      </c>
      <c r="BZ61" s="58">
        <f t="shared" si="135"/>
        <v>0</v>
      </c>
      <c r="CA61" s="58">
        <f t="shared" si="135"/>
        <v>0</v>
      </c>
      <c r="CB61" s="58">
        <f t="shared" si="135"/>
        <v>0</v>
      </c>
      <c r="CC61" s="58">
        <f t="shared" si="135"/>
        <v>0</v>
      </c>
      <c r="CD61" s="58">
        <f t="shared" si="135"/>
        <v>0</v>
      </c>
      <c r="CE61" s="58">
        <f t="shared" si="135"/>
        <v>0</v>
      </c>
      <c r="CF61" s="58">
        <f t="shared" si="135"/>
        <v>0</v>
      </c>
      <c r="CG61" s="58">
        <f t="shared" ref="CG61:ER61" si="136">CG35</f>
        <v>0</v>
      </c>
      <c r="CH61" s="58">
        <f t="shared" si="136"/>
        <v>0</v>
      </c>
      <c r="CI61" s="58">
        <f t="shared" si="136"/>
        <v>0</v>
      </c>
      <c r="CJ61" s="58">
        <f t="shared" si="136"/>
        <v>0</v>
      </c>
      <c r="CK61" s="58">
        <f t="shared" si="136"/>
        <v>0</v>
      </c>
      <c r="CL61" s="58">
        <f t="shared" si="136"/>
        <v>0</v>
      </c>
      <c r="CM61" s="58">
        <f t="shared" si="136"/>
        <v>0</v>
      </c>
      <c r="CN61" s="58">
        <f t="shared" si="136"/>
        <v>0</v>
      </c>
      <c r="CO61" s="58">
        <f t="shared" si="136"/>
        <v>0</v>
      </c>
      <c r="CP61" s="58">
        <f t="shared" si="136"/>
        <v>0</v>
      </c>
      <c r="CQ61" s="58">
        <f t="shared" si="136"/>
        <v>0</v>
      </c>
      <c r="CR61" s="58">
        <f t="shared" si="136"/>
        <v>0</v>
      </c>
      <c r="CS61" s="58">
        <f t="shared" si="136"/>
        <v>0</v>
      </c>
      <c r="CT61" s="58">
        <f t="shared" si="136"/>
        <v>0</v>
      </c>
      <c r="CU61" s="58">
        <f t="shared" si="136"/>
        <v>0</v>
      </c>
      <c r="CV61" s="58">
        <f t="shared" si="136"/>
        <v>0</v>
      </c>
      <c r="CW61" s="58">
        <f t="shared" si="136"/>
        <v>0</v>
      </c>
      <c r="CX61" s="58">
        <f t="shared" si="136"/>
        <v>0</v>
      </c>
      <c r="CY61" s="58">
        <f t="shared" si="136"/>
        <v>0</v>
      </c>
      <c r="CZ61" s="58">
        <f t="shared" si="136"/>
        <v>0</v>
      </c>
      <c r="DA61" s="58">
        <f t="shared" si="136"/>
        <v>0</v>
      </c>
      <c r="DB61" s="58">
        <f t="shared" si="136"/>
        <v>0</v>
      </c>
      <c r="DC61" s="58">
        <f t="shared" si="136"/>
        <v>0</v>
      </c>
      <c r="DD61" s="58">
        <f t="shared" si="136"/>
        <v>0</v>
      </c>
      <c r="DE61" s="58">
        <f t="shared" si="136"/>
        <v>0</v>
      </c>
      <c r="DF61" s="58">
        <f t="shared" si="136"/>
        <v>0</v>
      </c>
      <c r="DG61" s="58">
        <f t="shared" si="136"/>
        <v>0</v>
      </c>
      <c r="DH61" s="58">
        <f t="shared" si="136"/>
        <v>0</v>
      </c>
      <c r="DI61" s="58">
        <f t="shared" si="136"/>
        <v>0</v>
      </c>
      <c r="DJ61" s="58">
        <f t="shared" si="136"/>
        <v>0</v>
      </c>
      <c r="DK61" s="58">
        <f t="shared" si="136"/>
        <v>0</v>
      </c>
      <c r="DL61" s="58">
        <f t="shared" si="136"/>
        <v>0</v>
      </c>
      <c r="DM61" s="58">
        <f t="shared" si="136"/>
        <v>0</v>
      </c>
      <c r="DN61" s="58">
        <f t="shared" si="136"/>
        <v>0</v>
      </c>
      <c r="DO61" s="58">
        <f t="shared" si="136"/>
        <v>0</v>
      </c>
      <c r="DP61" s="58">
        <f t="shared" si="136"/>
        <v>0</v>
      </c>
      <c r="DQ61" s="58">
        <f t="shared" si="136"/>
        <v>0</v>
      </c>
      <c r="DR61" s="58">
        <f t="shared" si="136"/>
        <v>0</v>
      </c>
      <c r="DS61" s="58">
        <f t="shared" si="136"/>
        <v>0</v>
      </c>
      <c r="DT61" s="58">
        <f t="shared" si="136"/>
        <v>0</v>
      </c>
      <c r="DU61" s="58">
        <f t="shared" si="136"/>
        <v>0</v>
      </c>
      <c r="DV61" s="58">
        <f t="shared" si="136"/>
        <v>0</v>
      </c>
      <c r="DW61" s="58">
        <f t="shared" si="136"/>
        <v>0</v>
      </c>
      <c r="DX61" s="58">
        <f t="shared" si="136"/>
        <v>0</v>
      </c>
      <c r="DY61" s="58">
        <f t="shared" si="136"/>
        <v>0</v>
      </c>
      <c r="DZ61" s="58">
        <f t="shared" si="136"/>
        <v>0</v>
      </c>
      <c r="EA61" s="58">
        <f t="shared" si="136"/>
        <v>0</v>
      </c>
      <c r="EB61" s="58">
        <f t="shared" si="136"/>
        <v>0</v>
      </c>
      <c r="EC61" s="58">
        <f t="shared" si="136"/>
        <v>0</v>
      </c>
      <c r="ED61" s="58">
        <f t="shared" si="136"/>
        <v>0</v>
      </c>
      <c r="EE61" s="58">
        <f t="shared" si="136"/>
        <v>0</v>
      </c>
      <c r="EF61" s="58">
        <f t="shared" si="136"/>
        <v>0</v>
      </c>
      <c r="EG61" s="58">
        <f t="shared" si="136"/>
        <v>0</v>
      </c>
      <c r="EH61" s="58">
        <f t="shared" si="136"/>
        <v>0</v>
      </c>
      <c r="EI61" s="58">
        <f t="shared" si="136"/>
        <v>0</v>
      </c>
      <c r="EJ61" s="58">
        <f t="shared" si="136"/>
        <v>0</v>
      </c>
      <c r="EK61" s="58">
        <f t="shared" si="136"/>
        <v>0</v>
      </c>
      <c r="EL61" s="58">
        <f t="shared" si="136"/>
        <v>0</v>
      </c>
      <c r="EM61" s="58">
        <f t="shared" si="136"/>
        <v>0</v>
      </c>
      <c r="EN61" s="58">
        <f t="shared" si="136"/>
        <v>0</v>
      </c>
      <c r="EO61" s="58">
        <f t="shared" si="136"/>
        <v>0</v>
      </c>
      <c r="EP61" s="58">
        <f t="shared" si="136"/>
        <v>0</v>
      </c>
      <c r="EQ61" s="58">
        <f t="shared" si="136"/>
        <v>0</v>
      </c>
      <c r="ER61" s="58">
        <f t="shared" si="136"/>
        <v>0</v>
      </c>
      <c r="ES61" s="58">
        <f t="shared" ref="ES61:HD61" si="137">ES35</f>
        <v>0</v>
      </c>
      <c r="ET61" s="58">
        <f t="shared" si="137"/>
        <v>0</v>
      </c>
      <c r="EU61" s="58">
        <f t="shared" si="137"/>
        <v>0</v>
      </c>
      <c r="EV61" s="58">
        <f t="shared" si="137"/>
        <v>0</v>
      </c>
      <c r="EW61" s="58">
        <f t="shared" si="137"/>
        <v>0</v>
      </c>
      <c r="EX61" s="58">
        <f t="shared" si="137"/>
        <v>0</v>
      </c>
      <c r="EY61" s="58">
        <f t="shared" si="137"/>
        <v>0</v>
      </c>
      <c r="EZ61" s="58">
        <f t="shared" si="137"/>
        <v>0</v>
      </c>
      <c r="FA61" s="58">
        <f t="shared" si="137"/>
        <v>0</v>
      </c>
      <c r="FB61" s="58">
        <f t="shared" si="137"/>
        <v>0</v>
      </c>
      <c r="FC61" s="58">
        <f t="shared" si="137"/>
        <v>0</v>
      </c>
      <c r="FD61" s="58">
        <f t="shared" si="137"/>
        <v>0</v>
      </c>
      <c r="FE61" s="58">
        <f t="shared" si="137"/>
        <v>0</v>
      </c>
      <c r="FF61" s="58">
        <f t="shared" si="137"/>
        <v>0</v>
      </c>
      <c r="FG61" s="58">
        <f t="shared" si="137"/>
        <v>0</v>
      </c>
      <c r="FH61" s="58">
        <f t="shared" si="137"/>
        <v>0</v>
      </c>
      <c r="FI61" s="58">
        <f t="shared" si="137"/>
        <v>0</v>
      </c>
      <c r="FJ61" s="58">
        <f t="shared" si="137"/>
        <v>0</v>
      </c>
      <c r="FK61" s="58">
        <f t="shared" si="137"/>
        <v>0</v>
      </c>
      <c r="FL61" s="58">
        <f t="shared" si="137"/>
        <v>0</v>
      </c>
      <c r="FM61" s="58">
        <f t="shared" si="137"/>
        <v>0</v>
      </c>
      <c r="FN61" s="58">
        <f t="shared" si="137"/>
        <v>0</v>
      </c>
      <c r="FO61" s="58">
        <f t="shared" si="137"/>
        <v>0</v>
      </c>
      <c r="FP61" s="58">
        <f t="shared" si="137"/>
        <v>0</v>
      </c>
      <c r="FQ61" s="58">
        <f t="shared" si="137"/>
        <v>0</v>
      </c>
      <c r="FR61" s="58">
        <f t="shared" si="137"/>
        <v>0</v>
      </c>
      <c r="FS61" s="58">
        <f t="shared" si="137"/>
        <v>0</v>
      </c>
      <c r="FT61" s="58">
        <f t="shared" si="137"/>
        <v>0</v>
      </c>
      <c r="FU61" s="58">
        <f t="shared" si="137"/>
        <v>0</v>
      </c>
      <c r="FV61" s="58">
        <f t="shared" si="137"/>
        <v>0</v>
      </c>
      <c r="FW61" s="58">
        <f t="shared" si="137"/>
        <v>0</v>
      </c>
      <c r="FX61" s="58">
        <f t="shared" si="137"/>
        <v>0</v>
      </c>
      <c r="FY61" s="58">
        <f t="shared" si="137"/>
        <v>0</v>
      </c>
      <c r="FZ61" s="58">
        <f t="shared" si="137"/>
        <v>0</v>
      </c>
      <c r="GA61" s="58">
        <f t="shared" si="137"/>
        <v>0</v>
      </c>
      <c r="GB61" s="58">
        <f t="shared" si="137"/>
        <v>0</v>
      </c>
      <c r="GC61" s="58">
        <f t="shared" si="137"/>
        <v>0</v>
      </c>
      <c r="GD61" s="58">
        <f t="shared" si="137"/>
        <v>0</v>
      </c>
      <c r="GE61" s="58">
        <f t="shared" si="137"/>
        <v>0</v>
      </c>
      <c r="GF61" s="58">
        <f t="shared" si="137"/>
        <v>0</v>
      </c>
      <c r="GG61" s="58">
        <f t="shared" si="137"/>
        <v>0</v>
      </c>
      <c r="GH61" s="58">
        <f t="shared" si="137"/>
        <v>0</v>
      </c>
      <c r="GI61" s="58">
        <f t="shared" si="137"/>
        <v>0</v>
      </c>
      <c r="GJ61" s="58">
        <f t="shared" si="137"/>
        <v>0</v>
      </c>
      <c r="GK61" s="58">
        <f t="shared" si="137"/>
        <v>0</v>
      </c>
      <c r="GL61" s="58">
        <f t="shared" si="137"/>
        <v>0</v>
      </c>
      <c r="GM61" s="58">
        <f t="shared" si="137"/>
        <v>0</v>
      </c>
      <c r="GN61" s="58">
        <f t="shared" si="137"/>
        <v>0</v>
      </c>
      <c r="GO61" s="58">
        <f t="shared" si="137"/>
        <v>0</v>
      </c>
      <c r="GP61" s="58">
        <f t="shared" si="137"/>
        <v>0</v>
      </c>
      <c r="GQ61" s="58">
        <f t="shared" si="137"/>
        <v>0</v>
      </c>
      <c r="GR61" s="58">
        <f t="shared" si="137"/>
        <v>0</v>
      </c>
      <c r="GS61" s="58">
        <f t="shared" si="137"/>
        <v>0</v>
      </c>
      <c r="GT61" s="58">
        <f t="shared" si="137"/>
        <v>0</v>
      </c>
      <c r="GU61" s="58">
        <f t="shared" si="137"/>
        <v>0</v>
      </c>
      <c r="GV61" s="58">
        <f t="shared" si="137"/>
        <v>0</v>
      </c>
      <c r="GW61" s="58">
        <f t="shared" si="137"/>
        <v>0</v>
      </c>
      <c r="GX61" s="58">
        <f t="shared" si="137"/>
        <v>0</v>
      </c>
      <c r="GY61" s="58">
        <f t="shared" si="137"/>
        <v>0</v>
      </c>
      <c r="GZ61" s="58">
        <f t="shared" si="137"/>
        <v>0</v>
      </c>
      <c r="HA61" s="58">
        <f t="shared" si="137"/>
        <v>0</v>
      </c>
      <c r="HB61" s="58">
        <f t="shared" si="137"/>
        <v>0</v>
      </c>
      <c r="HC61" s="58">
        <f t="shared" si="137"/>
        <v>0</v>
      </c>
      <c r="HD61" s="58">
        <f t="shared" si="137"/>
        <v>0</v>
      </c>
      <c r="HE61" s="58">
        <f t="shared" ref="HE61:IB61" si="138">HE35</f>
        <v>0</v>
      </c>
      <c r="HF61" s="58">
        <f t="shared" si="138"/>
        <v>0</v>
      </c>
      <c r="HG61" s="58">
        <f t="shared" si="138"/>
        <v>0</v>
      </c>
      <c r="HH61" s="58">
        <f t="shared" si="138"/>
        <v>0</v>
      </c>
      <c r="HI61" s="58">
        <f t="shared" si="138"/>
        <v>0</v>
      </c>
      <c r="HJ61" s="58">
        <f t="shared" si="138"/>
        <v>0</v>
      </c>
      <c r="HK61" s="58">
        <f t="shared" si="138"/>
        <v>0</v>
      </c>
      <c r="HL61" s="58">
        <f t="shared" si="138"/>
        <v>0</v>
      </c>
      <c r="HM61" s="58">
        <f t="shared" si="138"/>
        <v>0</v>
      </c>
      <c r="HN61" s="58">
        <f t="shared" si="138"/>
        <v>0</v>
      </c>
      <c r="HO61" s="58">
        <f t="shared" si="138"/>
        <v>0</v>
      </c>
      <c r="HP61" s="58">
        <f t="shared" si="138"/>
        <v>0</v>
      </c>
      <c r="HQ61" s="58">
        <f t="shared" si="138"/>
        <v>0</v>
      </c>
      <c r="HR61" s="58">
        <f t="shared" si="138"/>
        <v>0</v>
      </c>
      <c r="HS61" s="58">
        <f t="shared" si="138"/>
        <v>0</v>
      </c>
      <c r="HT61" s="58">
        <f t="shared" si="138"/>
        <v>0</v>
      </c>
      <c r="HU61" s="58">
        <f t="shared" si="138"/>
        <v>0</v>
      </c>
      <c r="HV61" s="58">
        <f t="shared" si="138"/>
        <v>0</v>
      </c>
      <c r="HW61" s="58">
        <f t="shared" si="138"/>
        <v>0</v>
      </c>
      <c r="HX61" s="58">
        <f t="shared" si="138"/>
        <v>0</v>
      </c>
      <c r="HY61" s="58">
        <f t="shared" si="138"/>
        <v>0</v>
      </c>
      <c r="HZ61" s="58">
        <f t="shared" si="138"/>
        <v>0</v>
      </c>
      <c r="IA61" s="58">
        <f t="shared" si="138"/>
        <v>0</v>
      </c>
      <c r="IB61" s="58">
        <f t="shared" si="138"/>
        <v>0</v>
      </c>
    </row>
    <row r="62" spans="1:251" s="228" customFormat="1" ht="18" customHeight="1" x14ac:dyDescent="0.3">
      <c r="A62" s="239"/>
      <c r="B62" s="244"/>
      <c r="C62" s="244"/>
      <c r="D62" s="25"/>
      <c r="E62" s="25"/>
      <c r="F62" s="25"/>
      <c r="G62" s="25"/>
      <c r="R62" s="25"/>
      <c r="S62" s="227"/>
      <c r="T62" s="334" t="s">
        <v>108</v>
      </c>
      <c r="U62" s="245">
        <f>NPV(U56/12,V35:DG35)+U35</f>
        <v>-4669085.6622278094</v>
      </c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  <c r="GX62" s="34"/>
      <c r="GY62" s="34"/>
      <c r="GZ62" s="34"/>
      <c r="HA62" s="34"/>
      <c r="HB62" s="34"/>
      <c r="HC62" s="34"/>
      <c r="HD62" s="34"/>
      <c r="HE62" s="34"/>
      <c r="HF62" s="34"/>
      <c r="HG62" s="34"/>
      <c r="HH62" s="34"/>
      <c r="HI62" s="34"/>
      <c r="HJ62" s="34"/>
      <c r="HK62" s="34"/>
      <c r="HL62" s="34"/>
      <c r="HM62" s="34"/>
      <c r="HN62" s="34"/>
      <c r="HO62" s="34"/>
      <c r="HP62" s="34"/>
      <c r="HQ62" s="34"/>
      <c r="HR62" s="34"/>
      <c r="HS62" s="34"/>
      <c r="HT62" s="34"/>
      <c r="HU62" s="34"/>
      <c r="HV62" s="34"/>
      <c r="HW62" s="34"/>
      <c r="HX62" s="34"/>
      <c r="HY62" s="34"/>
      <c r="HZ62" s="34"/>
      <c r="IA62" s="34"/>
      <c r="IB62" s="34"/>
    </row>
    <row r="63" spans="1:251" s="228" customFormat="1" ht="18" customHeight="1" x14ac:dyDescent="0.3">
      <c r="A63" s="239"/>
      <c r="B63" s="240"/>
      <c r="C63" s="244"/>
      <c r="D63" s="25"/>
      <c r="E63" s="25"/>
      <c r="F63" s="25"/>
      <c r="G63" s="99"/>
      <c r="R63" s="25"/>
      <c r="S63" s="239"/>
      <c r="T63" s="334" t="s">
        <v>109</v>
      </c>
      <c r="U63" s="245">
        <f>NPV((U56-0.0025)/12,V35:DG35)+U35</f>
        <v>-3313863.3244100511</v>
      </c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  <c r="GX63" s="34"/>
      <c r="GY63" s="34"/>
      <c r="GZ63" s="34"/>
      <c r="HA63" s="34"/>
      <c r="HB63" s="34"/>
      <c r="HC63" s="34"/>
      <c r="HD63" s="34"/>
      <c r="HE63" s="34"/>
      <c r="HF63" s="34"/>
      <c r="HG63" s="34"/>
      <c r="HH63" s="34"/>
      <c r="HI63" s="34"/>
      <c r="HJ63" s="34"/>
      <c r="HK63" s="34"/>
      <c r="HL63" s="34"/>
      <c r="HM63" s="34"/>
      <c r="HN63" s="34"/>
      <c r="HO63" s="34"/>
      <c r="HP63" s="34"/>
      <c r="HQ63" s="34"/>
      <c r="HR63" s="34"/>
      <c r="HS63" s="34"/>
      <c r="HT63" s="34"/>
      <c r="HU63" s="34"/>
      <c r="HV63" s="34"/>
      <c r="HW63" s="34"/>
      <c r="HX63" s="34"/>
      <c r="HY63" s="34"/>
      <c r="HZ63" s="34"/>
      <c r="IA63" s="34"/>
      <c r="IB63" s="34"/>
    </row>
    <row r="64" spans="1:251" s="228" customFormat="1" ht="18" customHeight="1" x14ac:dyDescent="0.3">
      <c r="A64" s="239"/>
      <c r="B64" s="240"/>
      <c r="C64" s="240"/>
      <c r="D64" s="25"/>
      <c r="E64" s="25"/>
      <c r="F64" s="25"/>
      <c r="G64" s="99"/>
      <c r="R64" s="25"/>
      <c r="S64" s="239"/>
      <c r="T64" s="334" t="s">
        <v>110</v>
      </c>
      <c r="U64" s="58">
        <f>NPV((U56+0.0025)/12,V35:DG35)+U35</f>
        <v>-6011378.8606802076</v>
      </c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  <c r="HB64" s="34"/>
      <c r="HC64" s="34"/>
      <c r="HD64" s="34"/>
      <c r="HE64" s="34"/>
      <c r="HF64" s="34"/>
      <c r="HG64" s="34"/>
      <c r="HH64" s="34"/>
      <c r="HI64" s="34"/>
      <c r="HJ64" s="34"/>
      <c r="HK64" s="34"/>
      <c r="HL64" s="34"/>
      <c r="HM64" s="34"/>
      <c r="HN64" s="34"/>
      <c r="HO64" s="34"/>
      <c r="HP64" s="34"/>
      <c r="HQ64" s="34"/>
      <c r="HR64" s="34"/>
      <c r="HS64" s="34"/>
      <c r="HT64" s="34"/>
      <c r="HU64" s="34"/>
      <c r="HV64" s="34"/>
      <c r="HW64" s="34"/>
      <c r="HX64" s="34"/>
      <c r="HY64" s="34"/>
      <c r="HZ64" s="34"/>
      <c r="IA64" s="34"/>
      <c r="IB64" s="34"/>
    </row>
    <row r="65" spans="1:236" s="228" customFormat="1" ht="18" customHeight="1" x14ac:dyDescent="0.3">
      <c r="A65" s="239"/>
      <c r="B65" s="240"/>
      <c r="C65" s="246"/>
      <c r="D65" s="25"/>
      <c r="E65" s="25"/>
      <c r="F65" s="25"/>
      <c r="G65" s="25"/>
      <c r="R65" s="25"/>
      <c r="T65" s="334" t="s">
        <v>111</v>
      </c>
      <c r="U65" s="243">
        <f>(U63-U64)/50/-U35*10^4</f>
        <v>5.2670379921321366</v>
      </c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  <c r="GV65" s="34"/>
      <c r="GW65" s="34"/>
      <c r="GX65" s="34"/>
      <c r="GY65" s="34"/>
      <c r="GZ65" s="34"/>
      <c r="HA65" s="34"/>
      <c r="HB65" s="34"/>
      <c r="HC65" s="34"/>
      <c r="HD65" s="34"/>
      <c r="HE65" s="34"/>
      <c r="HF65" s="34"/>
      <c r="HG65" s="34"/>
      <c r="HH65" s="34"/>
      <c r="HI65" s="34"/>
      <c r="HJ65" s="34"/>
      <c r="HK65" s="34"/>
      <c r="HL65" s="34"/>
      <c r="HM65" s="34"/>
      <c r="HN65" s="34"/>
      <c r="HO65" s="34"/>
      <c r="HP65" s="34"/>
      <c r="HQ65" s="34"/>
      <c r="HR65" s="34"/>
      <c r="HS65" s="34"/>
      <c r="HT65" s="34"/>
      <c r="HU65" s="34"/>
      <c r="HV65" s="34"/>
      <c r="HW65" s="34"/>
      <c r="HX65" s="34"/>
      <c r="HY65" s="34"/>
      <c r="HZ65" s="34"/>
      <c r="IA65" s="34"/>
      <c r="IB65" s="34"/>
    </row>
    <row r="66" spans="1:236" s="228" customFormat="1" ht="18" customHeight="1" x14ac:dyDescent="0.3">
      <c r="A66" s="227"/>
      <c r="C66" s="240"/>
      <c r="D66" s="25"/>
      <c r="E66" s="25"/>
      <c r="F66" s="25"/>
      <c r="G66" s="25"/>
      <c r="R66" s="25"/>
    </row>
    <row r="67" spans="1:236" s="228" customFormat="1" ht="18" customHeight="1" x14ac:dyDescent="0.3">
      <c r="A67" s="239"/>
      <c r="B67" s="240"/>
      <c r="D67" s="25"/>
      <c r="E67" s="25"/>
      <c r="F67" s="25"/>
      <c r="G67" s="25"/>
      <c r="R67" s="25"/>
    </row>
    <row r="68" spans="1:236" s="228" customFormat="1" ht="18" customHeight="1" x14ac:dyDescent="0.3">
      <c r="A68" s="239"/>
      <c r="B68" s="240"/>
      <c r="C68" s="240"/>
      <c r="D68" s="25"/>
      <c r="E68" s="24"/>
      <c r="F68" s="25"/>
      <c r="G68" s="25"/>
      <c r="R68" s="25"/>
    </row>
    <row r="69" spans="1:236" s="228" customFormat="1" ht="18" customHeight="1" x14ac:dyDescent="0.3">
      <c r="A69" s="239"/>
      <c r="B69" s="240"/>
      <c r="C69" s="240"/>
      <c r="D69" s="25"/>
      <c r="E69" s="24"/>
      <c r="F69" s="25"/>
      <c r="G69" s="25"/>
      <c r="I69" s="247"/>
      <c r="J69" s="248"/>
      <c r="K69" s="248"/>
      <c r="L69" s="248"/>
      <c r="M69" s="248"/>
      <c r="N69" s="248"/>
      <c r="O69" s="248"/>
      <c r="P69" s="248"/>
      <c r="Q69" s="247"/>
      <c r="R69" s="25"/>
      <c r="T69" s="201" t="s">
        <v>112</v>
      </c>
    </row>
    <row r="70" spans="1:236" s="228" customFormat="1" ht="18" customHeight="1" x14ac:dyDescent="0.3">
      <c r="A70" s="227"/>
      <c r="C70" s="240"/>
      <c r="D70" s="25"/>
      <c r="E70" s="24"/>
      <c r="F70" s="25"/>
      <c r="G70" s="25"/>
      <c r="Q70" s="247"/>
      <c r="R70" s="25"/>
      <c r="T70" s="249"/>
      <c r="U70" s="248">
        <f t="shared" ref="U70:AA70" si="139">J17</f>
        <v>46387</v>
      </c>
      <c r="V70" s="248">
        <f t="shared" si="139"/>
        <v>46752</v>
      </c>
      <c r="W70" s="248">
        <f t="shared" si="139"/>
        <v>47118</v>
      </c>
      <c r="X70" s="248">
        <f t="shared" si="139"/>
        <v>47483</v>
      </c>
      <c r="Y70" s="248">
        <f t="shared" si="139"/>
        <v>47848</v>
      </c>
      <c r="Z70" s="248">
        <f t="shared" si="139"/>
        <v>48213</v>
      </c>
      <c r="AA70" s="248">
        <f t="shared" si="139"/>
        <v>48579</v>
      </c>
      <c r="AD70" s="250"/>
      <c r="AE70" s="250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AZ70" s="250"/>
      <c r="BA70" s="250"/>
      <c r="BB70" s="250"/>
      <c r="BC70" s="250"/>
    </row>
    <row r="71" spans="1:236" s="228" customFormat="1" ht="18" customHeight="1" x14ac:dyDescent="0.3">
      <c r="A71" s="239"/>
      <c r="B71" s="240"/>
      <c r="I71" s="251"/>
      <c r="M71" s="252"/>
      <c r="Q71" s="247"/>
      <c r="R71" s="25"/>
      <c r="T71" s="249" t="s">
        <v>37</v>
      </c>
      <c r="U71" s="253">
        <f>IF(K14+J25+J32=0,0,K14+J25+J32)</f>
        <v>175.81002567666667</v>
      </c>
      <c r="V71" s="254">
        <f t="shared" ref="V71:AA71" si="140">IF(U71+K25+K32=0,0,U71+K25+K32)</f>
        <v>212.5</v>
      </c>
      <c r="W71" s="254">
        <f t="shared" si="140"/>
        <v>159.375</v>
      </c>
      <c r="X71" s="254">
        <f t="shared" si="140"/>
        <v>53.124999999999943</v>
      </c>
      <c r="Y71" s="254">
        <f t="shared" si="140"/>
        <v>-8.5265128291212022E-14</v>
      </c>
      <c r="Z71" s="254">
        <f t="shared" si="140"/>
        <v>-8.5265128291212022E-14</v>
      </c>
      <c r="AA71" s="254">
        <f t="shared" si="140"/>
        <v>-8.5265128291212022E-14</v>
      </c>
    </row>
    <row r="72" spans="1:236" s="228" customFormat="1" ht="18" customHeight="1" x14ac:dyDescent="0.3">
      <c r="A72" s="239"/>
      <c r="B72" s="240"/>
      <c r="C72" s="246"/>
      <c r="D72" s="25"/>
      <c r="E72" s="24"/>
      <c r="F72" s="25"/>
      <c r="G72" s="25"/>
      <c r="I72" s="255"/>
      <c r="J72" s="251"/>
      <c r="M72" s="256"/>
      <c r="Q72" s="247"/>
      <c r="R72" s="25"/>
      <c r="T72" s="249" t="s">
        <v>113</v>
      </c>
      <c r="U72" s="253">
        <f t="shared" ref="U72:AA72" si="141">IF(J28=0,0,J28)</f>
        <v>183.508458172329</v>
      </c>
      <c r="V72" s="253">
        <f t="shared" si="141"/>
        <v>232.12476198345146</v>
      </c>
      <c r="W72" s="253">
        <f t="shared" si="141"/>
        <v>184.07089125297756</v>
      </c>
      <c r="X72" s="253">
        <f t="shared" si="141"/>
        <v>64.894010316731709</v>
      </c>
      <c r="Y72" s="253">
        <f t="shared" si="141"/>
        <v>0</v>
      </c>
      <c r="Z72" s="253">
        <f t="shared" si="141"/>
        <v>0</v>
      </c>
      <c r="AA72" s="253">
        <f t="shared" si="141"/>
        <v>0</v>
      </c>
    </row>
    <row r="73" spans="1:236" s="228" customFormat="1" ht="18" customHeight="1" x14ac:dyDescent="0.3">
      <c r="A73" s="239"/>
      <c r="B73" s="240"/>
      <c r="C73" s="240"/>
      <c r="E73" s="257"/>
      <c r="Q73" s="247"/>
      <c r="R73" s="25"/>
      <c r="T73" s="249" t="s">
        <v>114</v>
      </c>
      <c r="U73" s="258">
        <f>IF(U70&lt;YEAR(E11),"",IF(J25+J26=0,0,J25+J26))</f>
        <v>62.423739011742704</v>
      </c>
      <c r="V73" s="253">
        <f t="shared" ref="V73:AA73" si="142">IF(K25+K26=0,0,K25+K26)</f>
        <v>19.792335032640658</v>
      </c>
      <c r="W73" s="253">
        <f t="shared" si="142"/>
        <v>-78.396432058704704</v>
      </c>
      <c r="X73" s="253">
        <f t="shared" si="142"/>
        <v>-136.78634026829917</v>
      </c>
      <c r="Y73" s="253">
        <f t="shared" si="142"/>
        <v>-67.47094606501858</v>
      </c>
      <c r="Z73" s="253">
        <f t="shared" si="142"/>
        <v>0</v>
      </c>
      <c r="AA73" s="253">
        <f t="shared" si="142"/>
        <v>0</v>
      </c>
    </row>
    <row r="74" spans="1:236" s="228" customFormat="1" ht="18" customHeight="1" x14ac:dyDescent="0.3">
      <c r="A74" s="239"/>
      <c r="B74" s="240"/>
      <c r="C74" s="240"/>
      <c r="I74" s="259"/>
      <c r="J74" s="25"/>
      <c r="K74" s="260"/>
      <c r="L74" s="260"/>
      <c r="Q74" s="247"/>
      <c r="R74" s="25"/>
      <c r="T74" t="s">
        <v>115</v>
      </c>
      <c r="U74" s="254" t="e">
        <f>IF(U72=_xlfn.AGGREGATE(4,6,$U$72:$AA$72),U72,NA())</f>
        <v>#N/A</v>
      </c>
      <c r="V74" s="254">
        <f t="shared" ref="V74:AA74" si="143">IF(V72=_xlfn.AGGREGATE(4,6,$U$72:$AA$72),V72,NA())</f>
        <v>232.12476198345146</v>
      </c>
      <c r="W74" s="254" t="e">
        <f t="shared" si="143"/>
        <v>#N/A</v>
      </c>
      <c r="X74" s="254" t="e">
        <f t="shared" si="143"/>
        <v>#N/A</v>
      </c>
      <c r="Y74" s="254" t="e">
        <f t="shared" si="143"/>
        <v>#N/A</v>
      </c>
      <c r="Z74" s="254" t="e">
        <f t="shared" si="143"/>
        <v>#N/A</v>
      </c>
      <c r="AA74" s="254" t="e">
        <f t="shared" si="143"/>
        <v>#N/A</v>
      </c>
    </row>
    <row r="75" spans="1:236" s="228" customFormat="1" ht="18" customHeight="1" x14ac:dyDescent="0.3">
      <c r="A75" s="239"/>
      <c r="B75" s="240"/>
      <c r="C75" s="240"/>
      <c r="D75" s="219" t="s">
        <v>116</v>
      </c>
      <c r="E75" s="25"/>
      <c r="F75" s="25"/>
      <c r="G75" s="220">
        <f>IF(F37="FALSE","N/A - 3rd Party",IF(E13/E12&gt;E19,1,0))</f>
        <v>0</v>
      </c>
      <c r="I75" s="259"/>
      <c r="J75" s="24"/>
      <c r="K75" s="260"/>
      <c r="L75" s="260"/>
      <c r="Q75" s="247"/>
      <c r="R75" s="25"/>
    </row>
    <row r="76" spans="1:236" ht="18" customHeight="1" x14ac:dyDescent="0.3">
      <c r="A76" s="239"/>
      <c r="B76" s="240"/>
      <c r="C76" s="240"/>
      <c r="D76" s="228"/>
      <c r="E76" s="228"/>
      <c r="F76" s="228"/>
      <c r="G76" s="228"/>
      <c r="H76" s="228"/>
      <c r="I76" s="259"/>
      <c r="J76" s="261"/>
      <c r="K76" s="262"/>
      <c r="L76" s="263"/>
      <c r="M76" s="228"/>
      <c r="N76" s="264"/>
      <c r="O76" s="228"/>
      <c r="P76" s="228"/>
      <c r="Q76" s="228"/>
      <c r="R76" s="25"/>
      <c r="S76" s="228"/>
      <c r="T76" s="201" t="s">
        <v>117</v>
      </c>
      <c r="V76" s="265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A76" s="228"/>
      <c r="BB76" s="228"/>
      <c r="BC76" s="228"/>
      <c r="BD76" s="228"/>
      <c r="BE76" s="228"/>
      <c r="BF76" s="228"/>
      <c r="BG76" s="228"/>
      <c r="BH76" s="228"/>
      <c r="BI76" s="228"/>
      <c r="BJ76" s="228"/>
      <c r="BK76" s="228"/>
      <c r="BL76" s="228"/>
      <c r="BM76" s="228"/>
      <c r="BN76" s="228"/>
      <c r="BO76" s="228"/>
      <c r="BP76" s="228"/>
      <c r="BQ76" s="228"/>
      <c r="BR76" s="228"/>
      <c r="BS76" s="228"/>
      <c r="BT76" s="228"/>
      <c r="BU76" s="228"/>
      <c r="BV76" s="228"/>
      <c r="BW76" s="228"/>
      <c r="BX76" s="228"/>
      <c r="BY76" s="228"/>
      <c r="BZ76" s="228"/>
      <c r="CA76" s="228"/>
      <c r="CB76" s="228"/>
      <c r="CC76" s="228"/>
      <c r="CD76" s="228"/>
      <c r="CE76" s="228"/>
      <c r="CF76" s="228"/>
      <c r="CG76" s="228"/>
      <c r="CH76" s="228"/>
      <c r="CI76" s="228"/>
      <c r="CJ76" s="228"/>
      <c r="CK76" s="228"/>
      <c r="CL76" s="228"/>
      <c r="CM76" s="228"/>
      <c r="CN76" s="228"/>
      <c r="CO76" s="228"/>
      <c r="CP76" s="228"/>
      <c r="CQ76" s="228"/>
      <c r="CR76" s="228"/>
      <c r="CS76" s="228"/>
      <c r="CT76" s="228"/>
      <c r="CU76" s="228"/>
      <c r="CV76" s="228"/>
      <c r="CW76" s="228"/>
      <c r="CX76" s="228"/>
      <c r="CY76" s="228"/>
      <c r="CZ76" s="228"/>
      <c r="DA76" s="228"/>
      <c r="DB76" s="228"/>
      <c r="DC76" s="228"/>
      <c r="DD76" s="228"/>
      <c r="DE76" s="228"/>
      <c r="DF76" s="228"/>
      <c r="DG76" s="228"/>
      <c r="DH76" s="228"/>
      <c r="DI76" s="228"/>
      <c r="DJ76" s="228"/>
      <c r="DK76" s="228"/>
      <c r="DL76" s="228"/>
      <c r="DM76" s="228"/>
      <c r="DN76" s="228"/>
      <c r="DO76" s="228"/>
      <c r="DP76" s="228"/>
      <c r="DQ76" s="228"/>
      <c r="DR76" s="228"/>
      <c r="DS76" s="228"/>
      <c r="DT76" s="228"/>
      <c r="DU76" s="228"/>
      <c r="DV76" s="228"/>
      <c r="DW76" s="228"/>
      <c r="DX76" s="228"/>
      <c r="DY76" s="228"/>
      <c r="DZ76" s="228"/>
      <c r="EA76" s="228"/>
      <c r="EB76" s="228"/>
      <c r="EC76" s="228"/>
      <c r="ED76" s="228"/>
      <c r="EE76" s="228"/>
      <c r="EF76" s="228"/>
      <c r="EG76" s="228"/>
      <c r="EH76" s="228"/>
      <c r="EI76" s="228"/>
      <c r="EJ76" s="228"/>
      <c r="EK76" s="228"/>
      <c r="EL76" s="228"/>
      <c r="EM76" s="228"/>
      <c r="EN76" s="228"/>
      <c r="EO76" s="228"/>
      <c r="EP76" s="228"/>
      <c r="EQ76" s="228"/>
      <c r="ER76" s="228"/>
      <c r="ES76" s="228"/>
      <c r="ET76" s="228"/>
      <c r="EU76" s="228"/>
      <c r="EV76" s="228"/>
      <c r="EW76" s="228"/>
      <c r="EX76" s="228"/>
      <c r="EY76" s="228"/>
      <c r="EZ76" s="228"/>
      <c r="FA76" s="228"/>
      <c r="FB76" s="228"/>
      <c r="FC76" s="228"/>
      <c r="FD76" s="228"/>
      <c r="FE76" s="228"/>
      <c r="FF76" s="228"/>
      <c r="FG76" s="228"/>
      <c r="FH76" s="228"/>
      <c r="FI76" s="228"/>
      <c r="FJ76" s="228"/>
      <c r="FK76" s="228"/>
      <c r="FL76" s="228"/>
      <c r="FM76" s="228"/>
      <c r="FN76" s="228"/>
      <c r="FO76" s="228"/>
      <c r="FP76" s="228"/>
      <c r="FQ76" s="228"/>
      <c r="FR76" s="228"/>
      <c r="FS76" s="228"/>
      <c r="FT76" s="228"/>
      <c r="FU76" s="228"/>
      <c r="FV76" s="228"/>
      <c r="FW76" s="228"/>
      <c r="FX76" s="228"/>
      <c r="FY76" s="228"/>
      <c r="FZ76" s="228"/>
      <c r="GA76" s="228"/>
      <c r="GB76" s="228"/>
      <c r="GC76" s="228"/>
      <c r="GD76" s="228"/>
      <c r="GE76" s="228"/>
      <c r="GF76" s="228"/>
      <c r="GG76" s="228"/>
      <c r="GH76" s="228"/>
      <c r="GI76" s="228"/>
      <c r="GJ76" s="228"/>
      <c r="GK76" s="228"/>
      <c r="GL76" s="228"/>
      <c r="GM76" s="228"/>
      <c r="GN76" s="228"/>
      <c r="GO76" s="228"/>
      <c r="GP76" s="228"/>
      <c r="GQ76" s="228"/>
      <c r="GR76" s="228"/>
      <c r="GS76" s="228"/>
      <c r="GT76" s="228"/>
      <c r="GU76" s="228"/>
      <c r="GV76" s="228"/>
      <c r="GW76" s="228"/>
      <c r="GX76" s="228"/>
      <c r="GY76" s="228"/>
      <c r="GZ76" s="228"/>
      <c r="HA76" s="228"/>
      <c r="HB76" s="228"/>
      <c r="HC76" s="228"/>
      <c r="HD76" s="228"/>
      <c r="HE76" s="228"/>
      <c r="HF76" s="228"/>
      <c r="HG76" s="228"/>
      <c r="HH76" s="228"/>
      <c r="HI76" s="228"/>
      <c r="HJ76" s="228"/>
      <c r="HK76" s="228"/>
      <c r="HL76" s="228"/>
      <c r="HM76" s="228"/>
      <c r="HN76" s="228"/>
      <c r="HO76" s="228"/>
      <c r="HP76" s="228"/>
      <c r="HQ76" s="228"/>
      <c r="HR76" s="228"/>
      <c r="HS76" s="228"/>
      <c r="HT76" s="228"/>
      <c r="HU76" s="228"/>
      <c r="HV76" s="228"/>
      <c r="HW76" s="228"/>
      <c r="HX76" s="228"/>
      <c r="HY76" s="228"/>
      <c r="HZ76" s="228"/>
      <c r="IA76" s="228"/>
      <c r="IB76" s="228"/>
    </row>
    <row r="77" spans="1:236" ht="18.75" x14ac:dyDescent="0.3">
      <c r="C77" s="240"/>
      <c r="D77" s="228" t="s">
        <v>118</v>
      </c>
      <c r="E77" s="228"/>
      <c r="F77" s="228"/>
      <c r="G77" s="228"/>
      <c r="I77" s="259"/>
      <c r="J77" s="261"/>
      <c r="K77" s="266"/>
      <c r="L77" s="263"/>
      <c r="M77" s="228"/>
      <c r="N77" s="267"/>
      <c r="R77" s="25"/>
      <c r="S77" s="228"/>
      <c r="T77" s="268" t="s">
        <v>119</v>
      </c>
      <c r="U77" s="228"/>
      <c r="V77" s="269">
        <f>(MONTH(F1)/12)</f>
        <v>1</v>
      </c>
      <c r="W77" s="270">
        <f>V77</f>
        <v>1</v>
      </c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A77" s="228"/>
      <c r="BB77" s="228"/>
      <c r="BC77" s="228"/>
      <c r="BD77" s="228"/>
      <c r="BE77" s="228"/>
      <c r="BF77" s="228"/>
      <c r="BG77" s="228"/>
      <c r="BH77" s="228"/>
      <c r="BI77" s="228"/>
      <c r="BJ77" s="228"/>
      <c r="BK77" s="228"/>
      <c r="BL77" s="228"/>
      <c r="BM77" s="228"/>
      <c r="BN77" s="228"/>
      <c r="BO77" s="228"/>
      <c r="BP77" s="228"/>
      <c r="BQ77" s="228"/>
      <c r="BR77" s="228"/>
      <c r="BS77" s="228"/>
      <c r="BT77" s="228"/>
      <c r="BU77" s="228"/>
      <c r="BV77" s="228"/>
      <c r="BW77" s="228"/>
      <c r="BX77" s="228"/>
      <c r="BY77" s="228"/>
      <c r="BZ77" s="228"/>
      <c r="CA77" s="228"/>
      <c r="CB77" s="228"/>
      <c r="CC77" s="228"/>
      <c r="CD77" s="228"/>
      <c r="CE77" s="228"/>
      <c r="CF77" s="228"/>
      <c r="CG77" s="228"/>
      <c r="CH77" s="228"/>
      <c r="CI77" s="228"/>
      <c r="CJ77" s="228"/>
      <c r="CK77" s="228"/>
      <c r="CL77" s="228"/>
      <c r="CM77" s="228"/>
      <c r="CN77" s="228"/>
      <c r="CO77" s="228"/>
      <c r="CP77" s="228"/>
      <c r="CQ77" s="228"/>
      <c r="CR77" s="228"/>
      <c r="CS77" s="228"/>
      <c r="CT77" s="228"/>
      <c r="CU77" s="228"/>
      <c r="CV77" s="228"/>
      <c r="CW77" s="228"/>
      <c r="CX77" s="228"/>
      <c r="CY77" s="228"/>
      <c r="CZ77" s="228"/>
      <c r="DA77" s="228"/>
      <c r="DB77" s="228"/>
      <c r="DC77" s="228"/>
      <c r="DD77" s="228"/>
      <c r="DE77" s="228"/>
      <c r="DF77" s="228"/>
      <c r="DG77" s="228"/>
      <c r="DH77" s="228"/>
      <c r="DI77" s="228"/>
      <c r="DJ77" s="228"/>
      <c r="DK77" s="228"/>
      <c r="DL77" s="228"/>
      <c r="DM77" s="228"/>
      <c r="DN77" s="228"/>
      <c r="DO77" s="228"/>
      <c r="DP77" s="228"/>
      <c r="DQ77" s="228"/>
      <c r="DR77" s="228"/>
      <c r="DS77" s="228"/>
      <c r="DT77" s="228"/>
      <c r="DU77" s="228"/>
      <c r="DV77" s="228"/>
      <c r="DW77" s="228"/>
      <c r="DX77" s="228"/>
      <c r="DY77" s="228"/>
      <c r="DZ77" s="228"/>
      <c r="EA77" s="228"/>
      <c r="EB77" s="228"/>
      <c r="EC77" s="228"/>
      <c r="ED77" s="228"/>
      <c r="EE77" s="228"/>
      <c r="EF77" s="228"/>
      <c r="EG77" s="228"/>
      <c r="EH77" s="228"/>
      <c r="EI77" s="228"/>
      <c r="EJ77" s="228"/>
      <c r="EK77" s="228"/>
      <c r="EL77" s="228"/>
      <c r="EM77" s="228"/>
      <c r="EN77" s="228"/>
      <c r="EO77" s="228"/>
      <c r="EP77" s="228"/>
      <c r="EQ77" s="228"/>
      <c r="ER77" s="228"/>
      <c r="ES77" s="228"/>
      <c r="ET77" s="228"/>
      <c r="EU77" s="228"/>
      <c r="EV77" s="228"/>
      <c r="EW77" s="228"/>
      <c r="EX77" s="228"/>
      <c r="EY77" s="228"/>
      <c r="EZ77" s="228"/>
      <c r="FA77" s="228"/>
      <c r="FB77" s="228"/>
      <c r="FC77" s="228"/>
      <c r="FD77" s="228"/>
      <c r="FE77" s="228"/>
      <c r="FF77" s="228"/>
      <c r="FG77" s="228"/>
      <c r="FH77" s="228"/>
      <c r="FI77" s="228"/>
      <c r="FJ77" s="228"/>
      <c r="FK77" s="228"/>
      <c r="FL77" s="228"/>
      <c r="FM77" s="228"/>
      <c r="FN77" s="228"/>
      <c r="FO77" s="228"/>
      <c r="FP77" s="228"/>
      <c r="FQ77" s="228"/>
      <c r="FR77" s="228"/>
      <c r="FS77" s="228"/>
      <c r="FT77" s="228"/>
      <c r="FU77" s="228"/>
      <c r="FV77" s="228"/>
      <c r="FW77" s="228"/>
      <c r="FX77" s="228"/>
      <c r="FY77" s="228"/>
      <c r="FZ77" s="228"/>
      <c r="GA77" s="228"/>
      <c r="GB77" s="228"/>
      <c r="GC77" s="228"/>
      <c r="GD77" s="228"/>
      <c r="GE77" s="228"/>
      <c r="GF77" s="228"/>
      <c r="GG77" s="228"/>
      <c r="GH77" s="228"/>
      <c r="GI77" s="228"/>
      <c r="GJ77" s="228"/>
      <c r="GK77" s="228"/>
      <c r="GL77" s="228"/>
      <c r="GM77" s="228"/>
      <c r="GN77" s="228"/>
      <c r="GO77" s="228"/>
      <c r="GP77" s="228"/>
      <c r="GQ77" s="228"/>
      <c r="GR77" s="228"/>
      <c r="GS77" s="228"/>
      <c r="GT77" s="228"/>
      <c r="GU77" s="228"/>
      <c r="GV77" s="228"/>
      <c r="GW77" s="228"/>
      <c r="GX77" s="228"/>
      <c r="GY77" s="228"/>
      <c r="GZ77" s="228"/>
      <c r="HA77" s="228"/>
      <c r="HB77" s="228"/>
      <c r="HC77" s="228"/>
      <c r="HD77" s="228"/>
      <c r="HE77" s="228"/>
      <c r="HF77" s="228"/>
      <c r="HG77" s="228"/>
      <c r="HH77" s="228"/>
      <c r="HI77" s="228"/>
      <c r="HJ77" s="228"/>
      <c r="HK77" s="228"/>
      <c r="HL77" s="228"/>
      <c r="HM77" s="228"/>
      <c r="HN77" s="228"/>
      <c r="HO77" s="228"/>
      <c r="HP77" s="228"/>
      <c r="HQ77" s="228"/>
      <c r="HR77" s="228"/>
      <c r="HS77" s="228"/>
      <c r="HT77" s="228"/>
      <c r="HU77" s="228"/>
      <c r="HV77" s="228"/>
      <c r="HW77" s="228"/>
      <c r="HX77" s="228"/>
      <c r="HY77" s="228"/>
      <c r="HZ77" s="228"/>
      <c r="IA77" s="228"/>
      <c r="IB77" s="228"/>
    </row>
    <row r="78" spans="1:236" ht="18.75" x14ac:dyDescent="0.3">
      <c r="D78" s="228"/>
      <c r="E78" s="228"/>
      <c r="F78" s="228"/>
      <c r="G78" s="228"/>
      <c r="I78" s="228"/>
      <c r="J78" s="228"/>
      <c r="K78" s="228"/>
      <c r="L78" s="228"/>
      <c r="M78" s="228"/>
      <c r="R78" s="25"/>
      <c r="S78" s="25"/>
      <c r="T78" s="268" t="s">
        <v>120</v>
      </c>
      <c r="U78" s="228"/>
      <c r="V78" s="98">
        <f>J38</f>
        <v>0.13048008459151111</v>
      </c>
      <c r="W78" s="271">
        <f>J39</f>
        <v>7.6633320004744362E-2</v>
      </c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A78" s="228"/>
      <c r="BB78" s="228"/>
      <c r="BC78" s="228"/>
      <c r="BD78" s="228"/>
      <c r="BE78" s="228"/>
      <c r="BF78" s="228"/>
      <c r="BG78" s="228"/>
      <c r="BH78" s="228"/>
      <c r="BI78" s="228"/>
      <c r="BJ78" s="228"/>
      <c r="BK78" s="228"/>
      <c r="BL78" s="228"/>
      <c r="BM78" s="228"/>
      <c r="BN78" s="228"/>
      <c r="BO78" s="228"/>
      <c r="BP78" s="228"/>
      <c r="BQ78" s="228"/>
      <c r="BR78" s="228"/>
      <c r="BS78" s="228"/>
      <c r="BT78" s="228"/>
      <c r="BU78" s="228"/>
      <c r="BV78" s="228"/>
      <c r="BW78" s="228"/>
      <c r="BX78" s="228"/>
      <c r="BY78" s="228"/>
      <c r="BZ78" s="228"/>
      <c r="CA78" s="228"/>
      <c r="CB78" s="228"/>
      <c r="CC78" s="228"/>
      <c r="CD78" s="228"/>
      <c r="CE78" s="228"/>
      <c r="CF78" s="228"/>
      <c r="CG78" s="228"/>
      <c r="CH78" s="228"/>
      <c r="CI78" s="228"/>
      <c r="CJ78" s="228"/>
      <c r="CK78" s="228"/>
      <c r="CL78" s="228"/>
      <c r="CM78" s="228"/>
      <c r="CN78" s="228"/>
      <c r="CO78" s="228"/>
      <c r="CP78" s="228"/>
      <c r="CQ78" s="228"/>
      <c r="CR78" s="228"/>
      <c r="CS78" s="228"/>
      <c r="CT78" s="228"/>
      <c r="CU78" s="228"/>
      <c r="CV78" s="228"/>
      <c r="CW78" s="228"/>
      <c r="CX78" s="228"/>
      <c r="CY78" s="228"/>
      <c r="CZ78" s="228"/>
      <c r="DA78" s="228"/>
      <c r="DB78" s="228"/>
      <c r="DC78" s="228"/>
      <c r="DD78" s="228"/>
      <c r="DE78" s="228"/>
      <c r="DF78" s="228"/>
      <c r="DG78" s="228"/>
      <c r="DH78" s="228"/>
      <c r="DI78" s="228"/>
      <c r="DJ78" s="228"/>
      <c r="DK78" s="228"/>
      <c r="DL78" s="228"/>
      <c r="DM78" s="228"/>
      <c r="DN78" s="228"/>
      <c r="DO78" s="228"/>
      <c r="DP78" s="228"/>
      <c r="DQ78" s="228"/>
      <c r="DR78" s="228"/>
      <c r="DS78" s="228"/>
      <c r="DT78" s="228"/>
      <c r="DU78" s="228"/>
      <c r="DV78" s="228"/>
      <c r="DW78" s="228"/>
      <c r="DX78" s="228"/>
      <c r="DY78" s="228"/>
      <c r="DZ78" s="228"/>
      <c r="EA78" s="228"/>
      <c r="EB78" s="228"/>
      <c r="EC78" s="228"/>
      <c r="ED78" s="228"/>
      <c r="EE78" s="228"/>
      <c r="EF78" s="228"/>
      <c r="EG78" s="228"/>
      <c r="EH78" s="228"/>
      <c r="EI78" s="228"/>
      <c r="EJ78" s="228"/>
      <c r="EK78" s="228"/>
      <c r="EL78" s="228"/>
      <c r="EM78" s="228"/>
      <c r="EN78" s="228"/>
      <c r="EO78" s="228"/>
      <c r="EP78" s="228"/>
      <c r="EQ78" s="228"/>
      <c r="ER78" s="228"/>
      <c r="ES78" s="228"/>
      <c r="ET78" s="228"/>
      <c r="EU78" s="228"/>
      <c r="EV78" s="228"/>
      <c r="EW78" s="228"/>
      <c r="EX78" s="228"/>
      <c r="EY78" s="228"/>
      <c r="EZ78" s="228"/>
      <c r="FA78" s="228"/>
      <c r="FB78" s="228"/>
      <c r="FC78" s="228"/>
      <c r="FD78" s="228"/>
      <c r="FE78" s="228"/>
      <c r="FF78" s="228"/>
      <c r="FG78" s="228"/>
      <c r="FH78" s="228"/>
      <c r="FI78" s="228"/>
      <c r="FJ78" s="228"/>
      <c r="FK78" s="228"/>
      <c r="FL78" s="228"/>
      <c r="FM78" s="228"/>
      <c r="FN78" s="228"/>
      <c r="FO78" s="228"/>
      <c r="FP78" s="228"/>
      <c r="FQ78" s="228"/>
      <c r="FR78" s="228"/>
      <c r="FS78" s="228"/>
      <c r="FT78" s="228"/>
      <c r="FU78" s="228"/>
      <c r="FV78" s="228"/>
      <c r="FW78" s="228"/>
      <c r="FX78" s="228"/>
      <c r="FY78" s="228"/>
      <c r="FZ78" s="228"/>
      <c r="GA78" s="228"/>
      <c r="GB78" s="228"/>
      <c r="GC78" s="228"/>
      <c r="GD78" s="228"/>
      <c r="GE78" s="228"/>
      <c r="GF78" s="228"/>
      <c r="GG78" s="228"/>
      <c r="GH78" s="228"/>
      <c r="GI78" s="228"/>
      <c r="GJ78" s="228"/>
      <c r="GK78" s="228"/>
      <c r="GL78" s="228"/>
      <c r="GM78" s="228"/>
      <c r="GN78" s="228"/>
      <c r="GO78" s="228"/>
      <c r="GP78" s="228"/>
      <c r="GQ78" s="228"/>
      <c r="GR78" s="228"/>
      <c r="GS78" s="228"/>
      <c r="GT78" s="228"/>
      <c r="GU78" s="228"/>
      <c r="GV78" s="228"/>
      <c r="GW78" s="228"/>
      <c r="GX78" s="228"/>
      <c r="GY78" s="228"/>
      <c r="GZ78" s="228"/>
      <c r="HA78" s="228"/>
      <c r="HB78" s="228"/>
      <c r="HC78" s="228"/>
      <c r="HD78" s="228"/>
      <c r="HE78" s="228"/>
      <c r="HF78" s="228"/>
      <c r="HG78" s="228"/>
      <c r="HH78" s="228"/>
      <c r="HI78" s="228"/>
      <c r="HJ78" s="228"/>
      <c r="HK78" s="228"/>
      <c r="HL78" s="228"/>
      <c r="HM78" s="228"/>
      <c r="HN78" s="228"/>
      <c r="HO78" s="228"/>
      <c r="HP78" s="228"/>
      <c r="HQ78" s="228"/>
      <c r="HR78" s="228"/>
      <c r="HS78" s="228"/>
      <c r="HT78" s="228"/>
      <c r="HU78" s="228"/>
      <c r="HV78" s="228"/>
      <c r="HW78" s="228"/>
      <c r="HX78" s="228"/>
      <c r="HY78" s="228"/>
      <c r="HZ78" s="228"/>
      <c r="IA78" s="228"/>
      <c r="IB78" s="228"/>
    </row>
    <row r="79" spans="1:236" ht="18.75" x14ac:dyDescent="0.3">
      <c r="D79" s="228"/>
      <c r="E79" s="228"/>
      <c r="F79" s="228"/>
      <c r="G79" s="228"/>
      <c r="I79" s="259"/>
      <c r="J79" s="228"/>
      <c r="K79" s="228"/>
      <c r="L79" s="228"/>
      <c r="M79" s="228"/>
      <c r="R79" s="25"/>
      <c r="S79" s="25"/>
      <c r="T79" s="272" t="s">
        <v>121</v>
      </c>
      <c r="U79" s="273" t="s">
        <v>122</v>
      </c>
      <c r="V79" s="273" t="s">
        <v>123</v>
      </c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A79" s="228"/>
      <c r="BB79" s="228"/>
      <c r="BC79" s="228"/>
      <c r="BD79" s="228"/>
      <c r="BE79" s="228"/>
      <c r="BF79" s="228"/>
      <c r="BG79" s="228"/>
      <c r="BH79" s="228"/>
      <c r="BI79" s="228"/>
      <c r="BJ79" s="228"/>
      <c r="BK79" s="228"/>
      <c r="BL79" s="228"/>
      <c r="BM79" s="228"/>
      <c r="BN79" s="228"/>
      <c r="BO79" s="228"/>
      <c r="BP79" s="228"/>
      <c r="BQ79" s="228"/>
      <c r="BR79" s="228"/>
      <c r="BS79" s="228"/>
      <c r="BT79" s="228"/>
      <c r="BU79" s="228"/>
      <c r="BV79" s="228"/>
      <c r="BW79" s="228"/>
      <c r="BX79" s="228"/>
      <c r="BY79" s="228"/>
      <c r="BZ79" s="228"/>
      <c r="CA79" s="228"/>
      <c r="CB79" s="228"/>
      <c r="CC79" s="228"/>
      <c r="CD79" s="228"/>
      <c r="CE79" s="228"/>
      <c r="CF79" s="228"/>
      <c r="CG79" s="228"/>
      <c r="CH79" s="228"/>
      <c r="CI79" s="228"/>
      <c r="CJ79" s="228"/>
      <c r="CK79" s="228"/>
      <c r="CL79" s="228"/>
      <c r="CM79" s="228"/>
      <c r="CN79" s="228"/>
      <c r="CO79" s="228"/>
      <c r="CP79" s="228"/>
      <c r="CQ79" s="228"/>
      <c r="CR79" s="228"/>
      <c r="CS79" s="228"/>
      <c r="CT79" s="228"/>
      <c r="CU79" s="228"/>
      <c r="CV79" s="228"/>
      <c r="CW79" s="228"/>
      <c r="CX79" s="228"/>
      <c r="CY79" s="228"/>
      <c r="CZ79" s="228"/>
      <c r="DA79" s="228"/>
      <c r="DB79" s="228"/>
      <c r="DC79" s="228"/>
      <c r="DD79" s="228"/>
      <c r="DE79" s="228"/>
      <c r="DF79" s="228"/>
      <c r="DG79" s="228"/>
      <c r="DH79" s="228"/>
      <c r="DI79" s="228"/>
      <c r="DJ79" s="228"/>
      <c r="DK79" s="228"/>
      <c r="DL79" s="228"/>
      <c r="DM79" s="228"/>
      <c r="DN79" s="228"/>
      <c r="DO79" s="228"/>
      <c r="DP79" s="228"/>
      <c r="DQ79" s="228"/>
      <c r="DR79" s="228"/>
      <c r="DS79" s="228"/>
      <c r="DT79" s="228"/>
      <c r="DU79" s="228"/>
      <c r="DV79" s="228"/>
      <c r="DW79" s="228"/>
      <c r="DX79" s="228"/>
      <c r="DY79" s="228"/>
      <c r="DZ79" s="228"/>
      <c r="EA79" s="228"/>
      <c r="EB79" s="228"/>
      <c r="EC79" s="228"/>
      <c r="ED79" s="228"/>
      <c r="EE79" s="228"/>
      <c r="EF79" s="228"/>
      <c r="EG79" s="228"/>
      <c r="EH79" s="228"/>
      <c r="EI79" s="228"/>
      <c r="EJ79" s="228"/>
      <c r="EK79" s="228"/>
      <c r="EL79" s="228"/>
      <c r="EM79" s="228"/>
      <c r="EN79" s="228"/>
      <c r="EO79" s="228"/>
      <c r="EP79" s="228"/>
      <c r="EQ79" s="228"/>
      <c r="ER79" s="228"/>
      <c r="ES79" s="228"/>
      <c r="ET79" s="228"/>
      <c r="EU79" s="228"/>
      <c r="EV79" s="228"/>
      <c r="EW79" s="228"/>
      <c r="EX79" s="228"/>
      <c r="EY79" s="228"/>
      <c r="EZ79" s="228"/>
      <c r="FA79" s="228"/>
      <c r="FB79" s="228"/>
      <c r="FC79" s="228"/>
      <c r="FD79" s="228"/>
      <c r="FE79" s="228"/>
      <c r="FF79" s="228"/>
      <c r="FG79" s="228"/>
      <c r="FH79" s="228"/>
      <c r="FI79" s="228"/>
      <c r="FJ79" s="228"/>
      <c r="FK79" s="228"/>
      <c r="FL79" s="228"/>
      <c r="FM79" s="228"/>
      <c r="FN79" s="228"/>
      <c r="FO79" s="228"/>
      <c r="FP79" s="228"/>
      <c r="FQ79" s="228"/>
      <c r="FR79" s="228"/>
      <c r="FS79" s="228"/>
      <c r="FT79" s="228"/>
      <c r="FU79" s="228"/>
      <c r="FV79" s="228"/>
      <c r="FW79" s="228"/>
      <c r="FX79" s="228"/>
      <c r="FY79" s="228"/>
      <c r="FZ79" s="228"/>
      <c r="GA79" s="228"/>
      <c r="GB79" s="228"/>
      <c r="GC79" s="228"/>
      <c r="GD79" s="228"/>
      <c r="GE79" s="228"/>
      <c r="GF79" s="228"/>
      <c r="GG79" s="228"/>
      <c r="GH79" s="228"/>
      <c r="GI79" s="228"/>
      <c r="GJ79" s="228"/>
      <c r="GK79" s="228"/>
      <c r="GL79" s="228"/>
      <c r="GM79" s="228"/>
      <c r="GN79" s="228"/>
      <c r="GO79" s="228"/>
      <c r="GP79" s="228"/>
      <c r="GQ79" s="228"/>
      <c r="GR79" s="228"/>
      <c r="GS79" s="228"/>
      <c r="GT79" s="228"/>
      <c r="GU79" s="228"/>
      <c r="GV79" s="228"/>
      <c r="GW79" s="228"/>
      <c r="GX79" s="228"/>
      <c r="GY79" s="228"/>
      <c r="GZ79" s="228"/>
      <c r="HA79" s="228"/>
      <c r="HB79" s="228"/>
      <c r="HC79" s="228"/>
      <c r="HD79" s="228"/>
      <c r="HE79" s="228"/>
      <c r="HF79" s="228"/>
      <c r="HG79" s="228"/>
      <c r="HH79" s="228"/>
      <c r="HI79" s="228"/>
      <c r="HJ79" s="228"/>
      <c r="HK79" s="228"/>
      <c r="HL79" s="228"/>
      <c r="HM79" s="228"/>
      <c r="HN79" s="228"/>
      <c r="HO79" s="228"/>
      <c r="HP79" s="228"/>
      <c r="HQ79" s="228"/>
      <c r="HR79" s="228"/>
      <c r="HS79" s="228"/>
      <c r="HT79" s="228"/>
      <c r="HU79" s="228"/>
      <c r="HV79" s="228"/>
      <c r="HW79" s="228"/>
      <c r="HX79" s="228"/>
      <c r="HY79" s="228"/>
      <c r="HZ79" s="228"/>
      <c r="IA79" s="228"/>
      <c r="IB79" s="228"/>
    </row>
    <row r="80" spans="1:236" ht="18.75" x14ac:dyDescent="0.3">
      <c r="D80" s="274"/>
      <c r="E80" s="228"/>
      <c r="F80" s="275"/>
      <c r="G80" s="228"/>
      <c r="I80" s="140"/>
      <c r="J80" s="261"/>
      <c r="K80" s="266"/>
      <c r="L80" s="99"/>
      <c r="M80" s="228"/>
      <c r="R80" s="25"/>
      <c r="S80" s="25"/>
      <c r="T80" s="276">
        <f>J17</f>
        <v>46387</v>
      </c>
      <c r="U80" s="99">
        <f>J37</f>
        <v>142.96926760116452</v>
      </c>
      <c r="V80" s="98">
        <f>IF(U80=0,0,IF(MONTH(F1)=12,V78,J38/(1-V77)))</f>
        <v>0.13048008459151111</v>
      </c>
      <c r="W80" s="29">
        <f>IF(U80=0,0,IF(MONTH(F1)=12,W78,J39/(1-W77)))</f>
        <v>7.6633320004744362E-2</v>
      </c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A80" s="228"/>
      <c r="BB80" s="228"/>
      <c r="BC80" s="228"/>
      <c r="BD80" s="228"/>
      <c r="BE80" s="228"/>
      <c r="BF80" s="228"/>
      <c r="BG80" s="228"/>
      <c r="BH80" s="228"/>
      <c r="BI80" s="228"/>
      <c r="BJ80" s="228"/>
      <c r="BK80" s="228"/>
      <c r="BL80" s="228"/>
      <c r="BM80" s="228"/>
      <c r="BN80" s="228"/>
      <c r="BO80" s="228"/>
      <c r="BP80" s="228"/>
      <c r="BQ80" s="228"/>
      <c r="BR80" s="228"/>
      <c r="BS80" s="228"/>
      <c r="BT80" s="228"/>
      <c r="BU80" s="228"/>
      <c r="BV80" s="228"/>
      <c r="BW80" s="228"/>
      <c r="BX80" s="228"/>
      <c r="BY80" s="228"/>
      <c r="BZ80" s="228"/>
      <c r="CA80" s="228"/>
      <c r="CB80" s="228"/>
      <c r="CC80" s="228"/>
      <c r="CD80" s="228"/>
      <c r="CE80" s="228"/>
      <c r="CF80" s="228"/>
      <c r="CG80" s="228"/>
      <c r="CH80" s="228"/>
      <c r="CI80" s="228"/>
      <c r="CJ80" s="228"/>
      <c r="CK80" s="228"/>
      <c r="CL80" s="228"/>
      <c r="CM80" s="228"/>
      <c r="CN80" s="228"/>
      <c r="CO80" s="228"/>
      <c r="CP80" s="228"/>
      <c r="CQ80" s="228"/>
      <c r="CR80" s="228"/>
      <c r="CS80" s="228"/>
      <c r="CT80" s="228"/>
      <c r="CU80" s="228"/>
      <c r="CV80" s="228"/>
      <c r="CW80" s="228"/>
      <c r="CX80" s="228"/>
      <c r="CY80" s="228"/>
      <c r="CZ80" s="228"/>
      <c r="DA80" s="228"/>
      <c r="DB80" s="228"/>
      <c r="DC80" s="228"/>
      <c r="DD80" s="228"/>
      <c r="DE80" s="228"/>
      <c r="DF80" s="228"/>
      <c r="DG80" s="228"/>
      <c r="DH80" s="228"/>
      <c r="DI80" s="228"/>
      <c r="DJ80" s="228"/>
      <c r="DK80" s="228"/>
      <c r="DL80" s="228"/>
      <c r="DM80" s="228"/>
      <c r="DN80" s="228"/>
      <c r="DO80" s="228"/>
      <c r="DP80" s="228"/>
      <c r="DQ80" s="228"/>
      <c r="DR80" s="228"/>
      <c r="DS80" s="228"/>
      <c r="DT80" s="228"/>
      <c r="DU80" s="228"/>
      <c r="DV80" s="228"/>
      <c r="DW80" s="228"/>
      <c r="DX80" s="228"/>
      <c r="DY80" s="228"/>
      <c r="DZ80" s="228"/>
      <c r="EA80" s="228"/>
      <c r="EB80" s="228"/>
      <c r="EC80" s="228"/>
      <c r="ED80" s="228"/>
      <c r="EE80" s="228"/>
      <c r="EF80" s="228"/>
      <c r="EG80" s="228"/>
      <c r="EH80" s="228"/>
      <c r="EI80" s="228"/>
      <c r="EJ80" s="228"/>
      <c r="EK80" s="228"/>
      <c r="EL80" s="228"/>
      <c r="EM80" s="228"/>
      <c r="EN80" s="228"/>
      <c r="EO80" s="228"/>
      <c r="EP80" s="228"/>
      <c r="EQ80" s="228"/>
      <c r="ER80" s="228"/>
      <c r="ES80" s="228"/>
      <c r="ET80" s="228"/>
      <c r="EU80" s="228"/>
      <c r="EV80" s="228"/>
      <c r="EW80" s="228"/>
      <c r="EX80" s="228"/>
      <c r="EY80" s="228"/>
      <c r="EZ80" s="228"/>
      <c r="FA80" s="228"/>
      <c r="FB80" s="228"/>
      <c r="FC80" s="228"/>
      <c r="FD80" s="228"/>
      <c r="FE80" s="228"/>
      <c r="FF80" s="228"/>
      <c r="FG80" s="228"/>
      <c r="FH80" s="228"/>
      <c r="FI80" s="228"/>
      <c r="FJ80" s="228"/>
      <c r="FK80" s="228"/>
      <c r="FL80" s="228"/>
      <c r="FM80" s="228"/>
      <c r="FN80" s="228"/>
      <c r="FO80" s="228"/>
      <c r="FP80" s="228"/>
      <c r="FQ80" s="228"/>
      <c r="FR80" s="228"/>
      <c r="FS80" s="228"/>
      <c r="FT80" s="228"/>
      <c r="FU80" s="228"/>
      <c r="FV80" s="228"/>
      <c r="FW80" s="228"/>
      <c r="FX80" s="228"/>
      <c r="FY80" s="228"/>
      <c r="FZ80" s="228"/>
      <c r="GA80" s="228"/>
      <c r="GB80" s="228"/>
      <c r="GC80" s="228"/>
      <c r="GD80" s="228"/>
      <c r="GE80" s="228"/>
      <c r="GF80" s="228"/>
      <c r="GG80" s="228"/>
      <c r="GH80" s="228"/>
      <c r="GI80" s="228"/>
      <c r="GJ80" s="228"/>
      <c r="GK80" s="228"/>
      <c r="GL80" s="228"/>
      <c r="GM80" s="228"/>
      <c r="GN80" s="228"/>
      <c r="GO80" s="228"/>
      <c r="GP80" s="228"/>
      <c r="GQ80" s="228"/>
      <c r="GR80" s="228"/>
      <c r="GS80" s="228"/>
      <c r="GT80" s="228"/>
      <c r="GU80" s="228"/>
      <c r="GV80" s="228"/>
      <c r="GW80" s="228"/>
      <c r="GX80" s="228"/>
      <c r="GY80" s="228"/>
      <c r="GZ80" s="228"/>
      <c r="HA80" s="228"/>
      <c r="HB80" s="228"/>
      <c r="HC80" s="228"/>
      <c r="HD80" s="228"/>
      <c r="HE80" s="228"/>
      <c r="HF80" s="228"/>
      <c r="HG80" s="228"/>
      <c r="HH80" s="228"/>
      <c r="HI80" s="228"/>
      <c r="HJ80" s="228"/>
      <c r="HK80" s="228"/>
      <c r="HL80" s="228"/>
      <c r="HM80" s="228"/>
      <c r="HN80" s="228"/>
      <c r="HO80" s="228"/>
      <c r="HP80" s="228"/>
      <c r="HQ80" s="228"/>
      <c r="HR80" s="228"/>
      <c r="HS80" s="228"/>
      <c r="HT80" s="228"/>
      <c r="HU80" s="228"/>
      <c r="HV80" s="228"/>
      <c r="HW80" s="228"/>
      <c r="HX80" s="228"/>
      <c r="HY80" s="228"/>
      <c r="HZ80" s="228"/>
      <c r="IA80" s="228"/>
      <c r="IB80" s="228"/>
    </row>
    <row r="81" spans="1:23" ht="18.75" x14ac:dyDescent="0.3">
      <c r="A81" s="277"/>
      <c r="B81" s="278"/>
      <c r="D81" s="274"/>
      <c r="E81" s="279"/>
      <c r="F81" s="275"/>
      <c r="G81" s="228"/>
      <c r="I81" s="140"/>
      <c r="J81" s="261"/>
      <c r="K81" s="266"/>
      <c r="L81" s="99"/>
      <c r="M81" s="228"/>
      <c r="R81" s="25"/>
      <c r="S81" s="25"/>
      <c r="T81" s="276">
        <f>K17</f>
        <v>46752</v>
      </c>
      <c r="U81" s="99">
        <f>K37</f>
        <v>207.81661007789023</v>
      </c>
      <c r="V81" s="98">
        <f>K38</f>
        <v>0.13869906148348043</v>
      </c>
      <c r="W81" s="29">
        <f>K39</f>
        <v>8.1310340325344538E-2</v>
      </c>
    </row>
    <row r="82" spans="1:23" ht="18.75" x14ac:dyDescent="0.3">
      <c r="A82" s="277"/>
      <c r="B82" s="278"/>
      <c r="C82" s="278"/>
      <c r="D82" s="274"/>
      <c r="F82" s="275"/>
      <c r="G82" s="228"/>
      <c r="I82" s="140"/>
      <c r="J82" s="261"/>
      <c r="K82" s="266"/>
      <c r="L82" s="99"/>
      <c r="M82" s="228"/>
      <c r="R82" s="25"/>
      <c r="S82" s="25"/>
      <c r="T82" s="276">
        <f>L17</f>
        <v>47118</v>
      </c>
      <c r="U82" s="99">
        <f>L37</f>
        <v>208.09782661821453</v>
      </c>
      <c r="V82" s="98">
        <f>L38</f>
        <v>0.14580912170648727</v>
      </c>
      <c r="W82" s="29">
        <f>L39</f>
        <v>8.5283052973635157E-2</v>
      </c>
    </row>
    <row r="83" spans="1:23" ht="18.75" x14ac:dyDescent="0.3">
      <c r="A83" s="277"/>
      <c r="B83" s="278"/>
      <c r="C83" s="278"/>
      <c r="D83" s="274"/>
      <c r="F83" s="280"/>
      <c r="G83" s="228"/>
      <c r="I83" s="281"/>
      <c r="J83" s="228"/>
      <c r="K83" s="228"/>
      <c r="L83" s="228"/>
      <c r="M83" s="228"/>
      <c r="N83" s="254"/>
      <c r="R83" s="25"/>
      <c r="S83" s="25"/>
      <c r="T83" s="276">
        <f>M17</f>
        <v>47483</v>
      </c>
      <c r="U83" s="99">
        <f>M37</f>
        <v>124.48245078485463</v>
      </c>
      <c r="V83" s="98">
        <f>M38</f>
        <v>0.14146138046790249</v>
      </c>
      <c r="W83" s="29">
        <f>M39</f>
        <v>8.2555135522772036E-2</v>
      </c>
    </row>
    <row r="84" spans="1:23" ht="18.75" x14ac:dyDescent="0.3">
      <c r="A84" s="277"/>
      <c r="B84" s="278"/>
      <c r="C84" s="278"/>
      <c r="D84" s="274"/>
      <c r="F84" s="280"/>
      <c r="G84" s="228"/>
      <c r="I84" s="259"/>
      <c r="J84" s="25"/>
      <c r="K84" s="25"/>
      <c r="L84" s="25"/>
      <c r="M84" s="25"/>
      <c r="R84" s="25"/>
      <c r="S84" s="25"/>
      <c r="T84" s="276">
        <f>N17</f>
        <v>47848</v>
      </c>
      <c r="U84" s="99">
        <f>N37</f>
        <v>32.447005158365855</v>
      </c>
      <c r="V84" s="98">
        <f>N38</f>
        <v>7.9419833531923473E-2</v>
      </c>
      <c r="W84" s="29">
        <f>N39</f>
        <v>4.4030571869909434E-2</v>
      </c>
    </row>
    <row r="85" spans="1:23" ht="18.75" x14ac:dyDescent="0.3">
      <c r="A85" s="277"/>
      <c r="B85" s="278"/>
      <c r="C85" s="278"/>
      <c r="D85" s="274"/>
      <c r="F85" s="282"/>
      <c r="G85" s="228"/>
      <c r="I85" s="228"/>
      <c r="J85" s="228"/>
      <c r="K85" s="228"/>
      <c r="L85" s="228"/>
      <c r="M85" s="228"/>
      <c r="R85" s="25"/>
      <c r="S85" s="25"/>
      <c r="T85" s="276">
        <f>O17</f>
        <v>48213</v>
      </c>
      <c r="U85" s="99">
        <f>O37</f>
        <v>0</v>
      </c>
      <c r="V85" s="98" t="str">
        <f>O38</f>
        <v>-</v>
      </c>
      <c r="W85" s="29">
        <f>O39</f>
        <v>0</v>
      </c>
    </row>
    <row r="86" spans="1:23" ht="18.75" x14ac:dyDescent="0.3">
      <c r="A86" s="277"/>
      <c r="B86" s="278"/>
      <c r="C86" s="278"/>
      <c r="D86" s="274"/>
      <c r="F86" s="283"/>
      <c r="G86" s="228"/>
      <c r="I86" s="274"/>
      <c r="J86" s="24"/>
      <c r="K86" s="25"/>
      <c r="L86" s="25"/>
      <c r="M86" s="25"/>
      <c r="N86" s="264"/>
      <c r="R86" s="25"/>
      <c r="S86" s="25"/>
      <c r="T86" s="276">
        <f>P17</f>
        <v>48579</v>
      </c>
      <c r="U86" s="99">
        <f>P37</f>
        <v>0</v>
      </c>
      <c r="V86" s="284" t="str">
        <f>P38</f>
        <v>-</v>
      </c>
      <c r="W86" s="29">
        <f>P39</f>
        <v>0</v>
      </c>
    </row>
    <row r="87" spans="1:23" ht="18.75" x14ac:dyDescent="0.3">
      <c r="A87" s="277"/>
      <c r="B87" s="278"/>
      <c r="C87" s="278"/>
      <c r="D87" s="274"/>
      <c r="E87" s="278"/>
      <c r="F87" s="285"/>
      <c r="G87" s="228"/>
      <c r="I87" s="259"/>
      <c r="J87" s="286"/>
      <c r="K87" s="25"/>
      <c r="L87" s="25"/>
      <c r="M87" s="25"/>
      <c r="R87" s="25"/>
      <c r="S87" s="25"/>
      <c r="T87" s="287" t="s">
        <v>124</v>
      </c>
      <c r="U87" s="288"/>
      <c r="V87" s="289">
        <f>SUMPRODUCT(V80:V86,U80:U86)/SUM(U80:U86)</f>
        <v>0.13691780587648267</v>
      </c>
      <c r="W87" s="289">
        <f>SUMPRODUCT(W80:W86,U80:U86)/SUM(U80:U86)</f>
        <v>8.0057752311905428E-2</v>
      </c>
    </row>
    <row r="88" spans="1:23" ht="18.75" x14ac:dyDescent="0.3">
      <c r="A88" s="277"/>
      <c r="B88" s="278"/>
      <c r="C88" s="278"/>
      <c r="D88" s="274"/>
      <c r="E88" s="278"/>
      <c r="F88" s="290"/>
      <c r="G88" s="228"/>
      <c r="I88" s="259"/>
      <c r="J88" s="286"/>
      <c r="K88" s="25"/>
      <c r="L88" s="25"/>
      <c r="M88" s="25"/>
      <c r="R88" s="25"/>
      <c r="S88" s="25"/>
    </row>
    <row r="89" spans="1:23" ht="18.75" x14ac:dyDescent="0.3">
      <c r="A89" s="277"/>
      <c r="B89" s="278"/>
      <c r="C89" s="278"/>
      <c r="D89" s="274"/>
      <c r="E89" s="278"/>
      <c r="F89" s="291"/>
      <c r="G89" s="228"/>
      <c r="I89" s="259"/>
      <c r="J89" s="98"/>
      <c r="K89" s="25"/>
      <c r="L89" s="25"/>
      <c r="M89" s="25"/>
      <c r="R89" s="25"/>
      <c r="S89" s="25"/>
    </row>
    <row r="90" spans="1:23" ht="18.75" x14ac:dyDescent="0.3">
      <c r="A90" s="277"/>
      <c r="B90" s="278"/>
      <c r="C90" s="278"/>
      <c r="D90" s="274"/>
      <c r="E90" s="278"/>
      <c r="F90" s="292"/>
      <c r="G90" s="228"/>
      <c r="I90" s="259"/>
      <c r="J90" s="98"/>
      <c r="K90" s="165"/>
      <c r="L90" s="165"/>
      <c r="M90" s="165"/>
      <c r="R90" s="25"/>
      <c r="S90" s="25"/>
    </row>
    <row r="91" spans="1:23" ht="18.75" x14ac:dyDescent="0.3">
      <c r="A91" s="277"/>
      <c r="B91" s="278"/>
      <c r="C91" s="278"/>
      <c r="D91" s="274"/>
      <c r="E91" s="278"/>
      <c r="F91" s="280"/>
      <c r="G91" s="228"/>
      <c r="I91" s="167"/>
      <c r="J91" s="194"/>
      <c r="K91" s="293"/>
      <c r="L91" s="165"/>
      <c r="M91" s="165"/>
      <c r="R91" s="25"/>
      <c r="S91" s="25"/>
    </row>
    <row r="92" spans="1:23" ht="18.75" x14ac:dyDescent="0.3">
      <c r="A92" s="277"/>
      <c r="B92" s="278"/>
      <c r="C92" s="278"/>
      <c r="D92" s="274"/>
      <c r="E92" s="278"/>
      <c r="F92" s="291"/>
      <c r="G92" s="228"/>
      <c r="I92" s="259"/>
      <c r="J92" s="25"/>
      <c r="K92" s="25"/>
      <c r="L92" s="25"/>
      <c r="M92" s="25"/>
      <c r="R92" s="25"/>
      <c r="S92" s="25"/>
    </row>
    <row r="93" spans="1:23" ht="18.75" x14ac:dyDescent="0.3">
      <c r="A93" s="277"/>
      <c r="B93" s="278"/>
      <c r="C93" s="278"/>
      <c r="D93" s="274"/>
      <c r="E93" s="278"/>
      <c r="F93" s="291"/>
      <c r="G93" s="228"/>
      <c r="I93" s="228"/>
      <c r="J93" s="228"/>
      <c r="K93" s="228"/>
      <c r="L93" s="228"/>
      <c r="M93" s="228"/>
      <c r="R93" s="25"/>
      <c r="S93" s="25"/>
    </row>
    <row r="94" spans="1:23" ht="18.75" x14ac:dyDescent="0.3">
      <c r="A94" s="277"/>
      <c r="B94" s="278"/>
      <c r="C94" s="278"/>
      <c r="D94" s="274"/>
      <c r="E94" s="278"/>
      <c r="F94" s="294"/>
      <c r="G94" s="228"/>
      <c r="I94" s="295"/>
      <c r="J94" s="228"/>
      <c r="K94" s="296"/>
      <c r="L94" s="24"/>
      <c r="M94" s="24"/>
      <c r="R94" s="25"/>
      <c r="S94" s="25"/>
    </row>
    <row r="95" spans="1:23" ht="18.75" x14ac:dyDescent="0.3">
      <c r="A95" s="277"/>
      <c r="B95" s="278"/>
      <c r="C95" s="278"/>
      <c r="D95" s="274"/>
      <c r="E95" s="278"/>
      <c r="F95" s="291"/>
      <c r="G95" s="228"/>
      <c r="I95" s="228"/>
      <c r="J95" s="24"/>
      <c r="K95" s="24"/>
      <c r="L95" s="24"/>
      <c r="M95" s="281"/>
      <c r="R95" s="25"/>
      <c r="S95" s="25"/>
    </row>
    <row r="96" spans="1:23" ht="18.75" x14ac:dyDescent="0.3">
      <c r="A96" s="277"/>
      <c r="B96" s="278"/>
      <c r="C96" s="278"/>
      <c r="D96" s="274"/>
      <c r="E96" s="278"/>
      <c r="F96" s="291"/>
      <c r="G96" s="228"/>
      <c r="I96" s="295"/>
      <c r="J96" s="98"/>
      <c r="K96" s="25"/>
      <c r="L96" s="99"/>
      <c r="M96" s="99"/>
      <c r="R96" s="25"/>
      <c r="S96" s="25"/>
    </row>
    <row r="97" spans="1:236" ht="18.75" x14ac:dyDescent="0.3">
      <c r="A97" s="277"/>
      <c r="B97" s="278"/>
      <c r="C97" s="278"/>
      <c r="D97" s="297"/>
      <c r="E97" s="278"/>
      <c r="F97" s="278"/>
      <c r="H97" s="1"/>
      <c r="I97" s="298"/>
      <c r="J97" s="98"/>
      <c r="K97" s="98"/>
      <c r="L97" s="99"/>
      <c r="M97" s="99"/>
      <c r="R97" s="25"/>
      <c r="S97" s="25"/>
    </row>
    <row r="98" spans="1:236" ht="18.75" x14ac:dyDescent="0.3">
      <c r="A98" s="277"/>
      <c r="B98" s="278"/>
      <c r="C98" s="278"/>
      <c r="D98" s="297"/>
      <c r="E98" s="278"/>
      <c r="F98" s="278"/>
      <c r="H98" s="228"/>
      <c r="I98" s="299"/>
      <c r="J98" s="289"/>
      <c r="K98" s="98"/>
      <c r="L98" s="99"/>
      <c r="M98" s="99"/>
      <c r="Q98" s="25"/>
      <c r="R98" s="25"/>
      <c r="S98" s="288"/>
    </row>
    <row r="99" spans="1:236" ht="18.75" x14ac:dyDescent="0.3">
      <c r="A99" s="277"/>
      <c r="B99" s="278"/>
      <c r="C99" s="278"/>
      <c r="D99" s="297"/>
      <c r="E99" s="278"/>
      <c r="F99" s="278"/>
      <c r="H99" s="228"/>
      <c r="I99" s="300"/>
      <c r="J99" s="194"/>
      <c r="K99" s="25"/>
      <c r="L99" s="25"/>
      <c r="M99" s="25"/>
      <c r="N99" s="228"/>
      <c r="R99" s="25"/>
      <c r="S99" s="25"/>
      <c r="T99" s="288"/>
    </row>
    <row r="100" spans="1:236" ht="18.75" x14ac:dyDescent="0.3">
      <c r="C100" s="278"/>
      <c r="D100" s="297"/>
      <c r="E100" s="278"/>
      <c r="F100" s="278"/>
      <c r="H100" s="228"/>
      <c r="I100" s="25"/>
      <c r="J100" s="25"/>
      <c r="K100" s="25"/>
      <c r="L100" s="25"/>
      <c r="M100" s="25"/>
      <c r="N100" s="228"/>
      <c r="R100" s="25"/>
      <c r="S100" s="25"/>
    </row>
    <row r="101" spans="1:236" ht="18.75" x14ac:dyDescent="0.3">
      <c r="D101" s="278"/>
      <c r="E101" s="278"/>
      <c r="F101" s="278"/>
      <c r="H101" s="228"/>
      <c r="I101" s="295"/>
      <c r="J101" s="98"/>
      <c r="K101" s="25"/>
      <c r="L101" s="25"/>
      <c r="M101" s="25"/>
      <c r="N101" s="228"/>
      <c r="R101" s="25"/>
      <c r="S101" s="25"/>
      <c r="T101" s="301"/>
      <c r="U101" s="302"/>
      <c r="V101" s="303"/>
      <c r="W101" s="303"/>
      <c r="X101" s="303"/>
      <c r="Y101" s="303"/>
      <c r="Z101" s="303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  <c r="BW101" s="303"/>
      <c r="BX101" s="303"/>
      <c r="BY101" s="303"/>
      <c r="BZ101" s="303"/>
      <c r="CA101" s="303"/>
      <c r="CB101" s="303"/>
      <c r="CC101" s="303"/>
      <c r="CD101" s="303"/>
      <c r="CE101" s="303"/>
      <c r="CF101" s="303"/>
      <c r="CG101" s="303"/>
      <c r="CH101" s="303"/>
      <c r="CI101" s="303"/>
      <c r="CJ101" s="303"/>
      <c r="CK101" s="303"/>
      <c r="CL101" s="303"/>
      <c r="CM101" s="303"/>
      <c r="CN101" s="303"/>
      <c r="CO101" s="303"/>
      <c r="CP101" s="303"/>
      <c r="CQ101" s="303"/>
      <c r="CR101" s="303"/>
      <c r="CS101" s="303"/>
      <c r="CT101" s="303"/>
      <c r="CU101" s="303"/>
      <c r="CV101" s="303"/>
      <c r="CW101" s="303"/>
      <c r="CX101" s="303"/>
      <c r="CY101" s="303"/>
      <c r="CZ101" s="303"/>
      <c r="DA101" s="303"/>
      <c r="DB101" s="303"/>
      <c r="DC101" s="303"/>
      <c r="DD101" s="303"/>
      <c r="DE101" s="303"/>
      <c r="DF101" s="303"/>
      <c r="DG101" s="303"/>
      <c r="DH101" s="303"/>
      <c r="DI101" s="303"/>
      <c r="DJ101" s="303"/>
      <c r="DK101" s="303"/>
      <c r="DL101" s="303"/>
      <c r="DM101" s="303"/>
      <c r="DN101" s="303"/>
      <c r="DO101" s="303"/>
      <c r="DP101" s="303"/>
      <c r="DQ101" s="303"/>
      <c r="DR101" s="303"/>
      <c r="DS101" s="303"/>
      <c r="DT101" s="303"/>
      <c r="DU101" s="303"/>
      <c r="DV101" s="303"/>
      <c r="DW101" s="303"/>
      <c r="DX101" s="303"/>
      <c r="DY101" s="303"/>
      <c r="DZ101" s="303"/>
      <c r="EA101" s="303"/>
      <c r="EB101" s="303"/>
      <c r="EC101" s="303"/>
      <c r="ED101" s="303"/>
      <c r="EE101" s="303"/>
      <c r="EF101" s="303"/>
      <c r="EG101" s="303"/>
      <c r="EH101" s="303"/>
      <c r="EI101" s="303"/>
      <c r="EJ101" s="303"/>
      <c r="EK101" s="303"/>
      <c r="EL101" s="303"/>
      <c r="EM101" s="303"/>
      <c r="EN101" s="303"/>
      <c r="EO101" s="303"/>
      <c r="EP101" s="303"/>
      <c r="EQ101" s="303"/>
      <c r="ER101" s="303"/>
      <c r="ES101" s="303"/>
      <c r="ET101" s="303"/>
      <c r="EU101" s="303"/>
      <c r="EV101" s="303"/>
      <c r="EW101" s="303"/>
      <c r="EX101" s="303"/>
      <c r="EY101" s="303"/>
      <c r="EZ101" s="303"/>
      <c r="FA101" s="303"/>
      <c r="FB101" s="303"/>
      <c r="FC101" s="303"/>
      <c r="FD101" s="303"/>
      <c r="FE101" s="303"/>
      <c r="FF101" s="303"/>
      <c r="FG101" s="303"/>
      <c r="FH101" s="303"/>
      <c r="FI101" s="303"/>
      <c r="FJ101" s="303"/>
      <c r="FK101" s="303"/>
      <c r="FL101" s="303"/>
      <c r="FM101" s="303"/>
      <c r="FN101" s="303"/>
      <c r="FO101" s="303"/>
      <c r="FP101" s="303"/>
      <c r="FQ101" s="303"/>
      <c r="FR101" s="303"/>
      <c r="FS101" s="303"/>
      <c r="FT101" s="303"/>
      <c r="FU101" s="303"/>
      <c r="FV101" s="303"/>
      <c r="FW101" s="303"/>
      <c r="FX101" s="303"/>
      <c r="FY101" s="303"/>
      <c r="FZ101" s="303"/>
      <c r="GA101" s="303"/>
      <c r="GB101" s="303"/>
      <c r="GC101" s="303"/>
      <c r="GD101" s="303"/>
      <c r="GE101" s="303"/>
      <c r="GF101" s="303"/>
      <c r="GG101" s="303"/>
      <c r="GH101" s="303"/>
      <c r="GI101" s="303"/>
      <c r="GJ101" s="303"/>
      <c r="GK101" s="303"/>
      <c r="GL101" s="303"/>
      <c r="GM101" s="303"/>
      <c r="GN101" s="303"/>
      <c r="GO101" s="303"/>
      <c r="GP101" s="303"/>
      <c r="GQ101" s="303"/>
      <c r="GR101" s="303"/>
      <c r="GS101" s="303"/>
      <c r="GT101" s="303"/>
      <c r="GU101" s="303"/>
      <c r="GV101" s="303"/>
      <c r="GW101" s="303"/>
      <c r="GX101" s="303"/>
      <c r="GY101" s="303"/>
      <c r="GZ101" s="303"/>
      <c r="HA101" s="303"/>
      <c r="HB101" s="303"/>
      <c r="HC101" s="303"/>
      <c r="HD101" s="303"/>
      <c r="HE101" s="303"/>
      <c r="HF101" s="303"/>
      <c r="HG101" s="303"/>
      <c r="HH101" s="303"/>
      <c r="HI101" s="303"/>
      <c r="HJ101" s="303"/>
      <c r="HK101" s="303"/>
      <c r="HL101" s="303"/>
      <c r="HM101" s="303"/>
      <c r="HN101" s="303"/>
      <c r="HO101" s="303"/>
      <c r="HP101" s="303"/>
      <c r="HQ101" s="303"/>
      <c r="HR101" s="303"/>
      <c r="HS101" s="303"/>
      <c r="HT101" s="303"/>
      <c r="HU101" s="303"/>
      <c r="HV101" s="303"/>
      <c r="HW101" s="303"/>
      <c r="HX101" s="303"/>
      <c r="HY101" s="303"/>
      <c r="HZ101" s="303"/>
      <c r="IA101" s="303"/>
      <c r="IB101" s="303"/>
    </row>
    <row r="102" spans="1:236" ht="18.75" x14ac:dyDescent="0.3">
      <c r="H102" s="228"/>
      <c r="I102" s="25"/>
      <c r="J102" s="98"/>
      <c r="K102" s="25"/>
      <c r="L102" s="25"/>
      <c r="M102" s="25"/>
      <c r="N102" s="228"/>
      <c r="R102" s="25"/>
      <c r="S102" s="25"/>
      <c r="T102" s="301"/>
      <c r="U102" s="303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302"/>
      <c r="AT102" s="302"/>
      <c r="AU102" s="302"/>
      <c r="AV102" s="302"/>
      <c r="AW102" s="302"/>
      <c r="AX102" s="302"/>
      <c r="AY102" s="302"/>
      <c r="AZ102" s="302"/>
      <c r="BA102" s="302"/>
      <c r="BB102" s="302"/>
      <c r="BC102" s="302"/>
      <c r="BD102" s="302"/>
      <c r="BE102" s="302"/>
      <c r="BF102" s="302"/>
      <c r="BG102" s="302"/>
      <c r="BH102" s="302"/>
      <c r="BI102" s="302"/>
      <c r="BJ102" s="302"/>
      <c r="BK102" s="302"/>
      <c r="BL102" s="302"/>
      <c r="BM102" s="302"/>
      <c r="BN102" s="302"/>
      <c r="BO102" s="302"/>
      <c r="BP102" s="302"/>
      <c r="BQ102" s="302"/>
      <c r="BR102" s="302"/>
      <c r="BS102" s="302"/>
      <c r="BT102" s="302"/>
      <c r="BU102" s="302"/>
      <c r="BV102" s="302"/>
      <c r="BW102" s="302"/>
      <c r="BX102" s="302"/>
      <c r="BY102" s="302"/>
      <c r="BZ102" s="302"/>
      <c r="CA102" s="302"/>
      <c r="CB102" s="302"/>
      <c r="CC102" s="302"/>
      <c r="CD102" s="302"/>
      <c r="CE102" s="302"/>
      <c r="CF102" s="302"/>
      <c r="CG102" s="302"/>
      <c r="CH102" s="302"/>
      <c r="CI102" s="302"/>
      <c r="CJ102" s="302"/>
      <c r="CK102" s="302"/>
      <c r="CL102" s="302"/>
      <c r="CM102" s="302"/>
      <c r="CN102" s="302"/>
      <c r="CO102" s="302"/>
      <c r="CP102" s="302"/>
      <c r="CQ102" s="302"/>
      <c r="CR102" s="302"/>
      <c r="CS102" s="302"/>
      <c r="CT102" s="302"/>
      <c r="CU102" s="302"/>
      <c r="CV102" s="302"/>
      <c r="CW102" s="302"/>
      <c r="CX102" s="302"/>
      <c r="CY102" s="302"/>
      <c r="CZ102" s="302"/>
      <c r="DA102" s="302"/>
      <c r="DB102" s="302"/>
      <c r="DC102" s="302"/>
      <c r="DD102" s="302"/>
      <c r="DE102" s="302"/>
      <c r="DF102" s="302"/>
      <c r="DG102" s="302"/>
      <c r="DH102" s="302"/>
      <c r="DI102" s="302"/>
      <c r="DJ102" s="302"/>
      <c r="DK102" s="302"/>
      <c r="DL102" s="302"/>
      <c r="DM102" s="302"/>
      <c r="DN102" s="302"/>
      <c r="DO102" s="302"/>
      <c r="DP102" s="302"/>
      <c r="DQ102" s="302"/>
      <c r="DR102" s="302"/>
      <c r="DS102" s="302"/>
      <c r="DT102" s="302"/>
      <c r="DU102" s="302"/>
      <c r="DV102" s="302"/>
      <c r="DW102" s="302"/>
      <c r="DX102" s="302"/>
      <c r="DY102" s="302"/>
      <c r="DZ102" s="302"/>
      <c r="EA102" s="302"/>
      <c r="EB102" s="302"/>
      <c r="EC102" s="302"/>
      <c r="ED102" s="302"/>
      <c r="EE102" s="302"/>
      <c r="EF102" s="302"/>
      <c r="EG102" s="302"/>
      <c r="EH102" s="302"/>
      <c r="EI102" s="302"/>
      <c r="EJ102" s="302"/>
      <c r="EK102" s="302"/>
      <c r="EL102" s="302"/>
      <c r="EM102" s="302"/>
      <c r="EN102" s="302"/>
      <c r="EO102" s="302"/>
      <c r="EP102" s="302"/>
      <c r="EQ102" s="302"/>
      <c r="ER102" s="302"/>
      <c r="ES102" s="302"/>
      <c r="ET102" s="302"/>
      <c r="EU102" s="302"/>
      <c r="EV102" s="302"/>
      <c r="EW102" s="302"/>
      <c r="EX102" s="302"/>
      <c r="EY102" s="302"/>
      <c r="EZ102" s="302"/>
      <c r="FA102" s="302"/>
      <c r="FB102" s="302"/>
      <c r="FC102" s="302"/>
      <c r="FD102" s="302"/>
      <c r="FE102" s="302"/>
      <c r="FF102" s="302"/>
      <c r="FG102" s="302"/>
      <c r="FH102" s="302"/>
      <c r="FI102" s="302"/>
      <c r="FJ102" s="302"/>
      <c r="FK102" s="302"/>
      <c r="FL102" s="302"/>
      <c r="FM102" s="302"/>
      <c r="FN102" s="302"/>
      <c r="FO102" s="302"/>
      <c r="FP102" s="302"/>
      <c r="FQ102" s="302"/>
      <c r="FR102" s="302"/>
      <c r="FS102" s="302"/>
      <c r="FT102" s="302"/>
      <c r="FU102" s="302"/>
      <c r="FV102" s="302"/>
      <c r="FW102" s="302"/>
      <c r="FX102" s="302"/>
      <c r="FY102" s="302"/>
      <c r="FZ102" s="302"/>
      <c r="GA102" s="302"/>
      <c r="GB102" s="302"/>
      <c r="GC102" s="302"/>
      <c r="GD102" s="302"/>
      <c r="GE102" s="302"/>
      <c r="GF102" s="302"/>
      <c r="GG102" s="302"/>
      <c r="GH102" s="302"/>
      <c r="GI102" s="302"/>
      <c r="GJ102" s="302"/>
      <c r="GK102" s="302"/>
      <c r="GL102" s="302"/>
      <c r="GM102" s="302"/>
      <c r="GN102" s="302"/>
      <c r="GO102" s="302"/>
      <c r="GP102" s="302"/>
      <c r="GQ102" s="302"/>
      <c r="GR102" s="302"/>
      <c r="GS102" s="302"/>
      <c r="GT102" s="302"/>
      <c r="GU102" s="302"/>
      <c r="GV102" s="302"/>
      <c r="GW102" s="302"/>
      <c r="GX102" s="302"/>
      <c r="GY102" s="302"/>
      <c r="GZ102" s="302"/>
      <c r="HA102" s="302"/>
      <c r="HB102" s="302"/>
      <c r="HC102" s="302"/>
      <c r="HD102" s="302"/>
      <c r="HE102" s="302"/>
      <c r="HF102" s="302"/>
      <c r="HG102" s="302"/>
      <c r="HH102" s="302"/>
      <c r="HI102" s="302"/>
      <c r="HJ102" s="302"/>
      <c r="HK102" s="302"/>
      <c r="HL102" s="302"/>
      <c r="HM102" s="302"/>
      <c r="HN102" s="302"/>
      <c r="HO102" s="302"/>
      <c r="HP102" s="302"/>
      <c r="HQ102" s="302"/>
      <c r="HR102" s="302"/>
      <c r="HS102" s="302"/>
      <c r="HT102" s="302"/>
      <c r="HU102" s="302"/>
      <c r="HV102" s="302"/>
      <c r="HW102" s="302"/>
      <c r="HX102" s="302"/>
      <c r="HY102" s="302"/>
      <c r="HZ102" s="302"/>
      <c r="IA102" s="302"/>
      <c r="IB102" s="302"/>
    </row>
    <row r="103" spans="1:236" ht="18.75" x14ac:dyDescent="0.3">
      <c r="H103" s="228"/>
      <c r="I103" s="167"/>
      <c r="J103" s="194"/>
      <c r="K103" s="25"/>
      <c r="L103" s="25"/>
      <c r="M103" s="25"/>
      <c r="N103" s="228"/>
      <c r="R103" s="25"/>
      <c r="S103" s="25"/>
      <c r="T103" s="301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302"/>
      <c r="AT103" s="302"/>
      <c r="AU103" s="302"/>
      <c r="AV103" s="302"/>
      <c r="AW103" s="302"/>
      <c r="AX103" s="302"/>
      <c r="AY103" s="302"/>
      <c r="AZ103" s="302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K103" s="302"/>
      <c r="BL103" s="302"/>
      <c r="BM103" s="302"/>
      <c r="BN103" s="302"/>
      <c r="BO103" s="302"/>
      <c r="BP103" s="302"/>
      <c r="BQ103" s="302"/>
      <c r="BR103" s="302"/>
      <c r="BS103" s="302"/>
      <c r="BT103" s="302"/>
      <c r="BU103" s="302"/>
      <c r="BV103" s="302"/>
      <c r="BW103" s="302"/>
      <c r="BX103" s="302"/>
      <c r="BY103" s="302"/>
      <c r="BZ103" s="302"/>
      <c r="CA103" s="302"/>
      <c r="CB103" s="302"/>
      <c r="CC103" s="302"/>
      <c r="CD103" s="302"/>
      <c r="CE103" s="302"/>
      <c r="CF103" s="302"/>
      <c r="CG103" s="302"/>
      <c r="CH103" s="302"/>
      <c r="CI103" s="302"/>
      <c r="CJ103" s="302"/>
      <c r="CK103" s="302"/>
      <c r="CL103" s="302"/>
      <c r="CM103" s="302"/>
      <c r="CN103" s="302"/>
      <c r="CO103" s="302"/>
      <c r="CP103" s="302"/>
      <c r="CQ103" s="302"/>
      <c r="CR103" s="302"/>
      <c r="CS103" s="302"/>
      <c r="CT103" s="302"/>
      <c r="CU103" s="302"/>
      <c r="CV103" s="302"/>
      <c r="CW103" s="302"/>
      <c r="CX103" s="302"/>
      <c r="CY103" s="302"/>
      <c r="CZ103" s="302"/>
      <c r="DA103" s="302"/>
      <c r="DB103" s="302"/>
      <c r="DC103" s="302"/>
      <c r="DD103" s="302"/>
      <c r="DE103" s="302"/>
      <c r="DF103" s="302"/>
      <c r="DG103" s="302"/>
      <c r="DH103" s="302"/>
      <c r="DI103" s="302"/>
      <c r="DJ103" s="302"/>
      <c r="DK103" s="302"/>
      <c r="DL103" s="302"/>
      <c r="DM103" s="302"/>
      <c r="DN103" s="302"/>
      <c r="DO103" s="302"/>
      <c r="DP103" s="302"/>
      <c r="DQ103" s="302"/>
      <c r="DR103" s="302"/>
      <c r="DS103" s="302"/>
      <c r="DT103" s="302"/>
      <c r="DU103" s="302"/>
      <c r="DV103" s="302"/>
      <c r="DW103" s="302"/>
      <c r="DX103" s="302"/>
      <c r="DY103" s="302"/>
      <c r="DZ103" s="302"/>
      <c r="EA103" s="302"/>
      <c r="EB103" s="302"/>
      <c r="EC103" s="302"/>
      <c r="ED103" s="302"/>
      <c r="EE103" s="302"/>
      <c r="EF103" s="302"/>
      <c r="EG103" s="302"/>
      <c r="EH103" s="302"/>
      <c r="EI103" s="302"/>
      <c r="EJ103" s="302"/>
      <c r="EK103" s="302"/>
      <c r="EL103" s="302"/>
      <c r="EM103" s="302"/>
      <c r="EN103" s="302"/>
      <c r="EO103" s="302"/>
      <c r="EP103" s="302"/>
      <c r="EQ103" s="302"/>
      <c r="ER103" s="302"/>
      <c r="ES103" s="302"/>
      <c r="ET103" s="302"/>
      <c r="EU103" s="302"/>
      <c r="EV103" s="302"/>
      <c r="EW103" s="302"/>
      <c r="EX103" s="302"/>
      <c r="EY103" s="302"/>
      <c r="EZ103" s="302"/>
      <c r="FA103" s="302"/>
      <c r="FB103" s="302"/>
      <c r="FC103" s="302"/>
      <c r="FD103" s="302"/>
      <c r="FE103" s="302"/>
      <c r="FF103" s="302"/>
      <c r="FG103" s="302"/>
      <c r="FH103" s="302"/>
      <c r="FI103" s="302"/>
      <c r="FJ103" s="302"/>
      <c r="FK103" s="302"/>
      <c r="FL103" s="302"/>
      <c r="FM103" s="302"/>
      <c r="FN103" s="302"/>
      <c r="FO103" s="302"/>
      <c r="FP103" s="302"/>
      <c r="FQ103" s="302"/>
      <c r="FR103" s="302"/>
      <c r="FS103" s="302"/>
      <c r="FT103" s="302"/>
      <c r="FU103" s="302"/>
      <c r="FV103" s="302"/>
      <c r="FW103" s="302"/>
      <c r="FX103" s="302"/>
      <c r="FY103" s="302"/>
      <c r="FZ103" s="302"/>
      <c r="GA103" s="302"/>
      <c r="GB103" s="302"/>
      <c r="GC103" s="302"/>
      <c r="GD103" s="302"/>
      <c r="GE103" s="302"/>
      <c r="GF103" s="302"/>
      <c r="GG103" s="302"/>
      <c r="GH103" s="302"/>
      <c r="GI103" s="302"/>
      <c r="GJ103" s="302"/>
      <c r="GK103" s="302"/>
      <c r="GL103" s="302"/>
      <c r="GM103" s="302"/>
      <c r="GN103" s="302"/>
      <c r="GO103" s="302"/>
      <c r="GP103" s="302"/>
      <c r="GQ103" s="302"/>
      <c r="GR103" s="302"/>
      <c r="GS103" s="302"/>
      <c r="GT103" s="302"/>
      <c r="GU103" s="302"/>
      <c r="GV103" s="302"/>
      <c r="GW103" s="302"/>
      <c r="GX103" s="302"/>
      <c r="GY103" s="302"/>
      <c r="GZ103" s="302"/>
      <c r="HA103" s="302"/>
      <c r="HB103" s="302"/>
      <c r="HC103" s="302"/>
      <c r="HD103" s="302"/>
      <c r="HE103" s="302"/>
      <c r="HF103" s="302"/>
      <c r="HG103" s="302"/>
      <c r="HH103" s="302"/>
      <c r="HI103" s="302"/>
      <c r="HJ103" s="302"/>
      <c r="HK103" s="302"/>
      <c r="HL103" s="302"/>
      <c r="HM103" s="302"/>
      <c r="HN103" s="302"/>
      <c r="HO103" s="302"/>
      <c r="HP103" s="302"/>
      <c r="HQ103" s="302"/>
      <c r="HR103" s="302"/>
      <c r="HS103" s="302"/>
      <c r="HT103" s="302"/>
      <c r="HU103" s="302"/>
      <c r="HV103" s="302"/>
      <c r="HW103" s="302"/>
      <c r="HX103" s="302"/>
      <c r="HY103" s="302"/>
      <c r="HZ103" s="302"/>
      <c r="IA103" s="302"/>
      <c r="IB103" s="302"/>
    </row>
    <row r="104" spans="1:236" ht="18.75" x14ac:dyDescent="0.3">
      <c r="H104" s="228"/>
      <c r="I104" s="25"/>
      <c r="J104" s="25"/>
      <c r="K104" s="25"/>
      <c r="L104" s="25"/>
      <c r="M104" s="25"/>
      <c r="N104" s="228"/>
      <c r="R104" s="25"/>
      <c r="S104" s="25"/>
      <c r="T104" s="301"/>
      <c r="U104" s="303"/>
      <c r="V104" s="304"/>
      <c r="W104" s="304"/>
      <c r="X104" s="304"/>
      <c r="Y104" s="304"/>
      <c r="Z104" s="304"/>
      <c r="AA104" s="304"/>
      <c r="AB104" s="304"/>
      <c r="AC104" s="304"/>
      <c r="AD104" s="304"/>
      <c r="AE104" s="304"/>
      <c r="AF104" s="304"/>
      <c r="AG104" s="304"/>
      <c r="AH104" s="304"/>
      <c r="AI104" s="304"/>
      <c r="AJ104" s="304"/>
      <c r="AK104" s="304"/>
      <c r="AL104" s="304"/>
      <c r="AM104" s="304"/>
      <c r="AN104" s="304"/>
      <c r="AO104" s="304"/>
      <c r="AP104" s="304"/>
      <c r="AQ104" s="304"/>
      <c r="AR104" s="304"/>
      <c r="AS104" s="304"/>
      <c r="AT104" s="304"/>
      <c r="AU104" s="304"/>
      <c r="AV104" s="304"/>
      <c r="AW104" s="304"/>
      <c r="AX104" s="304"/>
      <c r="AY104" s="304"/>
      <c r="AZ104" s="304"/>
      <c r="BA104" s="304"/>
      <c r="BB104" s="304"/>
      <c r="BC104" s="304"/>
      <c r="BD104" s="304"/>
      <c r="BE104" s="304"/>
      <c r="BF104" s="304"/>
      <c r="BG104" s="304"/>
      <c r="BH104" s="304"/>
      <c r="BI104" s="304"/>
      <c r="BJ104" s="304"/>
      <c r="BK104" s="304"/>
      <c r="BL104" s="304"/>
      <c r="BM104" s="304"/>
      <c r="BN104" s="304"/>
      <c r="BO104" s="304"/>
      <c r="BP104" s="304"/>
      <c r="BQ104" s="304"/>
      <c r="BR104" s="304"/>
      <c r="BS104" s="304"/>
      <c r="BT104" s="304"/>
      <c r="BU104" s="304"/>
      <c r="BV104" s="304"/>
      <c r="BW104" s="304"/>
      <c r="BX104" s="304"/>
      <c r="BY104" s="304"/>
      <c r="BZ104" s="304"/>
      <c r="CA104" s="304"/>
      <c r="CB104" s="304"/>
      <c r="CC104" s="304"/>
      <c r="CD104" s="304"/>
      <c r="CE104" s="304"/>
      <c r="CF104" s="304"/>
      <c r="CG104" s="304"/>
      <c r="CH104" s="304"/>
      <c r="CI104" s="304"/>
      <c r="CJ104" s="304"/>
      <c r="CK104" s="304"/>
      <c r="CL104" s="304"/>
      <c r="CM104" s="304"/>
      <c r="CN104" s="304"/>
      <c r="CO104" s="304"/>
      <c r="CP104" s="304"/>
      <c r="CQ104" s="304"/>
      <c r="CR104" s="304"/>
      <c r="CS104" s="304"/>
      <c r="CT104" s="304"/>
      <c r="CU104" s="304"/>
      <c r="CV104" s="304"/>
      <c r="CW104" s="304"/>
      <c r="CX104" s="304"/>
      <c r="CY104" s="304"/>
      <c r="CZ104" s="304"/>
      <c r="DA104" s="304"/>
      <c r="DB104" s="304"/>
      <c r="DC104" s="304"/>
      <c r="DD104" s="304"/>
      <c r="DE104" s="304"/>
      <c r="DF104" s="304"/>
      <c r="DG104" s="304"/>
      <c r="DH104" s="304"/>
      <c r="DI104" s="304"/>
      <c r="DJ104" s="304"/>
      <c r="DK104" s="304"/>
      <c r="DL104" s="304"/>
      <c r="DM104" s="304"/>
      <c r="DN104" s="304"/>
      <c r="DO104" s="304"/>
      <c r="DP104" s="304"/>
      <c r="DQ104" s="304"/>
      <c r="DR104" s="304"/>
      <c r="DS104" s="304"/>
      <c r="DT104" s="304"/>
      <c r="DU104" s="304"/>
      <c r="DV104" s="304"/>
      <c r="DW104" s="304"/>
      <c r="DX104" s="304"/>
      <c r="DY104" s="304"/>
      <c r="DZ104" s="304"/>
      <c r="EA104" s="304"/>
      <c r="EB104" s="304"/>
      <c r="EC104" s="304"/>
      <c r="ED104" s="304"/>
      <c r="EE104" s="304"/>
      <c r="EF104" s="304"/>
      <c r="EG104" s="304"/>
      <c r="EH104" s="304"/>
      <c r="EI104" s="304"/>
      <c r="EJ104" s="304"/>
      <c r="EK104" s="304"/>
      <c r="EL104" s="304"/>
      <c r="EM104" s="304"/>
      <c r="EN104" s="304"/>
      <c r="EO104" s="304"/>
      <c r="EP104" s="304"/>
      <c r="EQ104" s="304"/>
      <c r="ER104" s="304"/>
      <c r="ES104" s="304"/>
      <c r="ET104" s="304"/>
      <c r="EU104" s="304"/>
      <c r="EV104" s="304"/>
      <c r="EW104" s="304"/>
      <c r="EX104" s="304"/>
      <c r="EY104" s="304"/>
      <c r="EZ104" s="304"/>
      <c r="FA104" s="304"/>
      <c r="FB104" s="304"/>
      <c r="FC104" s="304"/>
      <c r="FD104" s="304"/>
      <c r="FE104" s="304"/>
      <c r="FF104" s="304"/>
      <c r="FG104" s="304"/>
      <c r="FH104" s="304"/>
      <c r="FI104" s="304"/>
      <c r="FJ104" s="304"/>
      <c r="FK104" s="304"/>
      <c r="FL104" s="304"/>
      <c r="FM104" s="304"/>
      <c r="FN104" s="304"/>
      <c r="FO104" s="304"/>
      <c r="FP104" s="304"/>
      <c r="FQ104" s="304"/>
      <c r="FR104" s="304"/>
      <c r="FS104" s="304"/>
      <c r="FT104" s="304"/>
      <c r="FU104" s="304"/>
      <c r="FV104" s="304"/>
      <c r="FW104" s="304"/>
      <c r="FX104" s="304"/>
      <c r="FY104" s="304"/>
      <c r="FZ104" s="304"/>
      <c r="GA104" s="304"/>
      <c r="GB104" s="304"/>
      <c r="GC104" s="304"/>
      <c r="GD104" s="304"/>
      <c r="GE104" s="304"/>
      <c r="GF104" s="304"/>
      <c r="GG104" s="304"/>
      <c r="GH104" s="304"/>
      <c r="GI104" s="304"/>
      <c r="GJ104" s="304"/>
      <c r="GK104" s="304"/>
      <c r="GL104" s="304"/>
      <c r="GM104" s="304"/>
      <c r="GN104" s="304"/>
      <c r="GO104" s="304"/>
      <c r="GP104" s="304"/>
      <c r="GQ104" s="304"/>
      <c r="GR104" s="304"/>
      <c r="GS104" s="304"/>
      <c r="GT104" s="304"/>
      <c r="GU104" s="304"/>
      <c r="GV104" s="304"/>
      <c r="GW104" s="304"/>
      <c r="GX104" s="304"/>
      <c r="GY104" s="304"/>
      <c r="GZ104" s="304"/>
      <c r="HA104" s="304"/>
      <c r="HB104" s="304"/>
      <c r="HC104" s="304"/>
      <c r="HD104" s="304"/>
      <c r="HE104" s="304"/>
      <c r="HF104" s="304"/>
      <c r="HG104" s="304"/>
      <c r="HH104" s="304"/>
      <c r="HI104" s="304"/>
      <c r="HJ104" s="304"/>
      <c r="HK104" s="304"/>
      <c r="HL104" s="304"/>
      <c r="HM104" s="304"/>
      <c r="HN104" s="304"/>
      <c r="HO104" s="304"/>
      <c r="HP104" s="304"/>
      <c r="HQ104" s="304"/>
      <c r="HR104" s="304"/>
      <c r="HS104" s="304"/>
      <c r="HT104" s="304"/>
      <c r="HU104" s="304"/>
      <c r="HV104" s="304"/>
      <c r="HW104" s="304"/>
      <c r="HX104" s="304"/>
      <c r="HY104" s="304"/>
      <c r="HZ104" s="304"/>
      <c r="IA104" s="304"/>
      <c r="IB104" s="304"/>
    </row>
    <row r="105" spans="1:236" ht="18.75" x14ac:dyDescent="0.3">
      <c r="H105" s="228"/>
      <c r="I105" s="295"/>
      <c r="J105" s="98"/>
      <c r="K105" s="25"/>
      <c r="L105" s="25"/>
      <c r="M105" s="25"/>
      <c r="N105" s="228"/>
      <c r="R105" s="25"/>
      <c r="S105" s="25"/>
      <c r="T105" s="301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  <c r="AN105" s="302"/>
      <c r="AO105" s="302"/>
      <c r="AP105" s="302"/>
      <c r="AQ105" s="302"/>
      <c r="AR105" s="302"/>
      <c r="AS105" s="302"/>
      <c r="AT105" s="302"/>
      <c r="AU105" s="302"/>
      <c r="AV105" s="302"/>
      <c r="AW105" s="302"/>
      <c r="AX105" s="302"/>
      <c r="AY105" s="302"/>
      <c r="AZ105" s="302"/>
      <c r="BA105" s="302"/>
      <c r="BB105" s="302"/>
      <c r="BC105" s="302"/>
      <c r="BD105" s="302"/>
      <c r="BE105" s="302"/>
      <c r="BF105" s="302"/>
      <c r="BG105" s="302"/>
      <c r="BH105" s="302"/>
      <c r="BI105" s="302"/>
      <c r="BJ105" s="302"/>
      <c r="BK105" s="302"/>
      <c r="BL105" s="302"/>
      <c r="BM105" s="302"/>
      <c r="BN105" s="302"/>
      <c r="BO105" s="302"/>
      <c r="BP105" s="302"/>
      <c r="BQ105" s="302"/>
      <c r="BR105" s="302"/>
      <c r="BS105" s="302"/>
      <c r="BT105" s="302"/>
      <c r="BU105" s="302"/>
      <c r="BV105" s="302"/>
      <c r="BW105" s="302"/>
      <c r="BX105" s="302"/>
      <c r="BY105" s="302"/>
      <c r="BZ105" s="302"/>
      <c r="CA105" s="302"/>
      <c r="CB105" s="302"/>
      <c r="CC105" s="302"/>
      <c r="CD105" s="302"/>
      <c r="CE105" s="302"/>
      <c r="CF105" s="302"/>
      <c r="CG105" s="302"/>
      <c r="CH105" s="302"/>
      <c r="CI105" s="302"/>
      <c r="CJ105" s="302"/>
      <c r="CK105" s="302"/>
      <c r="CL105" s="302"/>
      <c r="CM105" s="302"/>
      <c r="CN105" s="302"/>
      <c r="CO105" s="302"/>
      <c r="CP105" s="302"/>
      <c r="CQ105" s="302"/>
      <c r="CR105" s="302"/>
      <c r="CS105" s="302"/>
      <c r="CT105" s="302"/>
      <c r="CU105" s="302"/>
      <c r="CV105" s="302"/>
      <c r="CW105" s="302"/>
      <c r="CX105" s="302"/>
      <c r="CY105" s="302"/>
      <c r="CZ105" s="302"/>
      <c r="DA105" s="302"/>
      <c r="DB105" s="302"/>
      <c r="DC105" s="302"/>
      <c r="DD105" s="302"/>
      <c r="DE105" s="302"/>
      <c r="DF105" s="302"/>
      <c r="DG105" s="302"/>
      <c r="DH105" s="302"/>
      <c r="DI105" s="302"/>
      <c r="DJ105" s="302"/>
      <c r="DK105" s="302"/>
      <c r="DL105" s="302"/>
      <c r="DM105" s="302"/>
      <c r="DN105" s="302"/>
      <c r="DO105" s="302"/>
      <c r="DP105" s="302"/>
      <c r="DQ105" s="302"/>
      <c r="DR105" s="302"/>
      <c r="DS105" s="302"/>
      <c r="DT105" s="302"/>
      <c r="DU105" s="302"/>
      <c r="DV105" s="302"/>
      <c r="DW105" s="302"/>
      <c r="DX105" s="302"/>
      <c r="DY105" s="302"/>
      <c r="DZ105" s="302"/>
      <c r="EA105" s="302"/>
      <c r="EB105" s="302"/>
      <c r="EC105" s="302"/>
      <c r="ED105" s="302"/>
      <c r="EE105" s="302"/>
      <c r="EF105" s="302"/>
      <c r="EG105" s="302"/>
      <c r="EH105" s="302"/>
      <c r="EI105" s="302"/>
      <c r="EJ105" s="302"/>
      <c r="EK105" s="302"/>
      <c r="EL105" s="302"/>
      <c r="EM105" s="302"/>
      <c r="EN105" s="302"/>
      <c r="EO105" s="302"/>
      <c r="EP105" s="302"/>
      <c r="EQ105" s="302"/>
      <c r="ER105" s="302"/>
      <c r="ES105" s="302"/>
      <c r="ET105" s="302"/>
      <c r="EU105" s="302"/>
      <c r="EV105" s="302"/>
      <c r="EW105" s="302"/>
      <c r="EX105" s="302"/>
      <c r="EY105" s="302"/>
      <c r="EZ105" s="302"/>
      <c r="FA105" s="302"/>
      <c r="FB105" s="302"/>
      <c r="FC105" s="302"/>
      <c r="FD105" s="302"/>
      <c r="FE105" s="302"/>
      <c r="FF105" s="302"/>
      <c r="FG105" s="302"/>
      <c r="FH105" s="302"/>
      <c r="FI105" s="302"/>
      <c r="FJ105" s="302"/>
      <c r="FK105" s="302"/>
      <c r="FL105" s="302"/>
      <c r="FM105" s="302"/>
      <c r="FN105" s="302"/>
      <c r="FO105" s="302"/>
      <c r="FP105" s="302"/>
      <c r="FQ105" s="302"/>
      <c r="FR105" s="302"/>
      <c r="FS105" s="302"/>
      <c r="FT105" s="302"/>
      <c r="FU105" s="302"/>
      <c r="FV105" s="302"/>
      <c r="FW105" s="302"/>
      <c r="FX105" s="302"/>
      <c r="FY105" s="302"/>
      <c r="FZ105" s="302"/>
      <c r="GA105" s="302"/>
      <c r="GB105" s="302"/>
      <c r="GC105" s="302"/>
      <c r="GD105" s="302"/>
      <c r="GE105" s="302"/>
      <c r="GF105" s="302"/>
      <c r="GG105" s="302"/>
      <c r="GH105" s="302"/>
      <c r="GI105" s="302"/>
      <c r="GJ105" s="302"/>
      <c r="GK105" s="302"/>
      <c r="GL105" s="302"/>
      <c r="GM105" s="302"/>
      <c r="GN105" s="302"/>
      <c r="GO105" s="302"/>
      <c r="GP105" s="302"/>
      <c r="GQ105" s="302"/>
      <c r="GR105" s="302"/>
      <c r="GS105" s="302"/>
      <c r="GT105" s="302"/>
      <c r="GU105" s="302"/>
      <c r="GV105" s="302"/>
      <c r="GW105" s="302"/>
      <c r="GX105" s="302"/>
      <c r="GY105" s="302"/>
      <c r="GZ105" s="302"/>
      <c r="HA105" s="302"/>
      <c r="HB105" s="302"/>
      <c r="HC105" s="302"/>
      <c r="HD105" s="302"/>
      <c r="HE105" s="302"/>
      <c r="HF105" s="302"/>
      <c r="HG105" s="302"/>
      <c r="HH105" s="302"/>
      <c r="HI105" s="302"/>
      <c r="HJ105" s="302"/>
      <c r="HK105" s="302"/>
      <c r="HL105" s="302"/>
      <c r="HM105" s="302"/>
      <c r="HN105" s="302"/>
      <c r="HO105" s="302"/>
      <c r="HP105" s="302"/>
      <c r="HQ105" s="302"/>
      <c r="HR105" s="302"/>
      <c r="HS105" s="302"/>
      <c r="HT105" s="302"/>
      <c r="HU105" s="302"/>
      <c r="HV105" s="302"/>
      <c r="HW105" s="302"/>
      <c r="HX105" s="302"/>
      <c r="HY105" s="302"/>
      <c r="HZ105" s="302"/>
      <c r="IA105" s="302"/>
      <c r="IB105" s="302"/>
    </row>
    <row r="106" spans="1:236" ht="18.75" x14ac:dyDescent="0.3">
      <c r="H106" s="228"/>
      <c r="I106" s="295"/>
      <c r="J106" s="305"/>
      <c r="N106" s="228"/>
      <c r="R106" s="25"/>
      <c r="S106" s="25"/>
      <c r="T106" s="306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  <c r="AH106" s="304"/>
      <c r="AI106" s="304"/>
      <c r="AJ106" s="304"/>
      <c r="AK106" s="304"/>
      <c r="AL106" s="304"/>
      <c r="AM106" s="304"/>
      <c r="AN106" s="304"/>
      <c r="AO106" s="304"/>
      <c r="AP106" s="304"/>
      <c r="AQ106" s="304"/>
      <c r="AR106" s="304"/>
      <c r="AS106" s="304"/>
      <c r="AT106" s="304"/>
      <c r="AU106" s="304"/>
      <c r="AV106" s="304"/>
      <c r="AW106" s="304"/>
      <c r="AX106" s="304"/>
      <c r="AY106" s="304"/>
      <c r="AZ106" s="304"/>
      <c r="BA106" s="304"/>
      <c r="BB106" s="304"/>
      <c r="BC106" s="304"/>
      <c r="BD106" s="304"/>
      <c r="BE106" s="304"/>
      <c r="BF106" s="304"/>
      <c r="BG106" s="304"/>
      <c r="BH106" s="304"/>
      <c r="BI106" s="304"/>
      <c r="BJ106" s="304"/>
      <c r="BK106" s="304"/>
      <c r="BL106" s="304"/>
      <c r="BM106" s="304"/>
      <c r="BN106" s="304"/>
      <c r="BO106" s="304"/>
      <c r="BP106" s="304"/>
      <c r="BQ106" s="304"/>
      <c r="BR106" s="304"/>
      <c r="BS106" s="304"/>
      <c r="BT106" s="304"/>
      <c r="BU106" s="304"/>
      <c r="BV106" s="304"/>
      <c r="BW106" s="304"/>
      <c r="BX106" s="304"/>
      <c r="BY106" s="304"/>
      <c r="BZ106" s="304"/>
      <c r="CA106" s="304"/>
      <c r="CB106" s="304"/>
      <c r="CC106" s="304"/>
      <c r="CD106" s="304"/>
      <c r="CE106" s="304"/>
      <c r="CF106" s="304"/>
      <c r="CG106" s="304"/>
      <c r="CH106" s="304"/>
      <c r="CI106" s="304"/>
      <c r="CJ106" s="304"/>
      <c r="CK106" s="304"/>
      <c r="CL106" s="304"/>
      <c r="CM106" s="304"/>
      <c r="CN106" s="304"/>
      <c r="CO106" s="304"/>
      <c r="CP106" s="304"/>
      <c r="CQ106" s="304"/>
      <c r="CR106" s="304"/>
      <c r="CS106" s="304"/>
      <c r="CT106" s="304"/>
      <c r="CU106" s="304"/>
      <c r="CV106" s="304"/>
      <c r="CW106" s="304"/>
      <c r="CX106" s="304"/>
      <c r="CY106" s="304"/>
      <c r="CZ106" s="304"/>
      <c r="DA106" s="304"/>
      <c r="DB106" s="304"/>
      <c r="DC106" s="304"/>
      <c r="DD106" s="304"/>
      <c r="DE106" s="304"/>
      <c r="DF106" s="304"/>
      <c r="DG106" s="304"/>
      <c r="DH106" s="304"/>
      <c r="DI106" s="304"/>
      <c r="DJ106" s="304"/>
      <c r="DK106" s="304"/>
      <c r="DL106" s="304"/>
      <c r="DM106" s="304"/>
      <c r="DN106" s="304"/>
      <c r="DO106" s="304"/>
      <c r="DP106" s="304"/>
      <c r="DQ106" s="304"/>
      <c r="DR106" s="304"/>
      <c r="DS106" s="304"/>
      <c r="DT106" s="304"/>
      <c r="DU106" s="304"/>
      <c r="DV106" s="304"/>
      <c r="DW106" s="304"/>
      <c r="DX106" s="304"/>
      <c r="DY106" s="304"/>
      <c r="DZ106" s="304"/>
      <c r="EA106" s="304"/>
      <c r="EB106" s="304"/>
      <c r="EC106" s="304"/>
      <c r="ED106" s="304"/>
      <c r="EE106" s="304"/>
      <c r="EF106" s="304"/>
      <c r="EG106" s="304"/>
      <c r="EH106" s="304"/>
      <c r="EI106" s="304"/>
      <c r="EJ106" s="304"/>
      <c r="EK106" s="304"/>
      <c r="EL106" s="304"/>
      <c r="EM106" s="304"/>
      <c r="EN106" s="304"/>
      <c r="EO106" s="304"/>
      <c r="EP106" s="304"/>
      <c r="EQ106" s="304"/>
      <c r="ER106" s="304"/>
      <c r="ES106" s="304"/>
      <c r="ET106" s="304"/>
      <c r="EU106" s="304"/>
      <c r="EV106" s="304"/>
      <c r="EW106" s="304"/>
      <c r="EX106" s="304"/>
      <c r="EY106" s="304"/>
      <c r="EZ106" s="304"/>
      <c r="FA106" s="304"/>
      <c r="FB106" s="304"/>
      <c r="FC106" s="304"/>
      <c r="FD106" s="304"/>
      <c r="FE106" s="304"/>
      <c r="FF106" s="304"/>
      <c r="FG106" s="304"/>
      <c r="FH106" s="304"/>
      <c r="FI106" s="304"/>
      <c r="FJ106" s="304"/>
      <c r="FK106" s="304"/>
      <c r="FL106" s="304"/>
      <c r="FM106" s="304"/>
      <c r="FN106" s="304"/>
      <c r="FO106" s="304"/>
      <c r="FP106" s="304"/>
      <c r="FQ106" s="304"/>
      <c r="FR106" s="304"/>
      <c r="FS106" s="304"/>
      <c r="FT106" s="304"/>
      <c r="FU106" s="304"/>
      <c r="FV106" s="304"/>
      <c r="FW106" s="304"/>
      <c r="FX106" s="304"/>
      <c r="FY106" s="304"/>
      <c r="FZ106" s="304"/>
      <c r="GA106" s="304"/>
      <c r="GB106" s="304"/>
      <c r="GC106" s="304"/>
      <c r="GD106" s="304"/>
      <c r="GE106" s="304"/>
      <c r="GF106" s="304"/>
      <c r="GG106" s="304"/>
      <c r="GH106" s="304"/>
      <c r="GI106" s="304"/>
      <c r="GJ106" s="304"/>
      <c r="GK106" s="304"/>
      <c r="GL106" s="304"/>
      <c r="GM106" s="304"/>
      <c r="GN106" s="304"/>
      <c r="GO106" s="304"/>
      <c r="GP106" s="304"/>
      <c r="GQ106" s="304"/>
      <c r="GR106" s="304"/>
      <c r="GS106" s="304"/>
      <c r="GT106" s="304"/>
      <c r="GU106" s="304"/>
      <c r="GV106" s="304"/>
      <c r="GW106" s="304"/>
      <c r="GX106" s="304"/>
      <c r="GY106" s="304"/>
      <c r="GZ106" s="304"/>
      <c r="HA106" s="304"/>
      <c r="HB106" s="304"/>
      <c r="HC106" s="304"/>
      <c r="HD106" s="304"/>
      <c r="HE106" s="304"/>
      <c r="HF106" s="304"/>
      <c r="HG106" s="304"/>
      <c r="HH106" s="304"/>
      <c r="HI106" s="304"/>
      <c r="HJ106" s="304"/>
      <c r="HK106" s="304"/>
      <c r="HL106" s="304"/>
      <c r="HM106" s="304"/>
      <c r="HN106" s="304"/>
      <c r="HO106" s="304"/>
      <c r="HP106" s="304"/>
      <c r="HQ106" s="304"/>
      <c r="HR106" s="304"/>
      <c r="HS106" s="304"/>
      <c r="HT106" s="304"/>
      <c r="HU106" s="304"/>
      <c r="HV106" s="304"/>
      <c r="HW106" s="304"/>
      <c r="HX106" s="304"/>
      <c r="HY106" s="304"/>
      <c r="HZ106" s="304"/>
      <c r="IA106" s="304"/>
      <c r="IB106" s="304"/>
    </row>
    <row r="107" spans="1:236" ht="18.75" x14ac:dyDescent="0.3">
      <c r="H107" s="228"/>
      <c r="N107" s="228"/>
      <c r="R107" s="25"/>
      <c r="S107" s="25"/>
      <c r="T107" s="306"/>
      <c r="U107" s="307"/>
      <c r="V107" s="307"/>
      <c r="W107" s="307"/>
      <c r="X107" s="307"/>
      <c r="Y107" s="307"/>
      <c r="Z107" s="307"/>
      <c r="AA107" s="307"/>
      <c r="AB107" s="307"/>
      <c r="AC107" s="307"/>
      <c r="AD107" s="307"/>
      <c r="AE107" s="307"/>
      <c r="AF107" s="307"/>
      <c r="AG107" s="307"/>
      <c r="AH107" s="307"/>
      <c r="AI107" s="307"/>
      <c r="AJ107" s="307"/>
      <c r="AK107" s="307"/>
      <c r="AL107" s="307"/>
      <c r="AM107" s="307"/>
      <c r="AN107" s="307"/>
      <c r="AO107" s="307"/>
      <c r="AP107" s="307"/>
      <c r="AQ107" s="307"/>
      <c r="AR107" s="307"/>
      <c r="AS107" s="307"/>
      <c r="AT107" s="307"/>
      <c r="AU107" s="307"/>
      <c r="AV107" s="307"/>
      <c r="AW107" s="307"/>
      <c r="AX107" s="307"/>
      <c r="AY107" s="307"/>
      <c r="AZ107" s="307"/>
      <c r="BA107" s="307"/>
      <c r="BB107" s="307"/>
      <c r="BC107" s="307"/>
      <c r="BD107" s="307"/>
      <c r="BE107" s="307"/>
      <c r="BF107" s="307"/>
      <c r="BG107" s="307"/>
      <c r="BH107" s="307"/>
      <c r="BI107" s="307"/>
      <c r="BJ107" s="307"/>
      <c r="BK107" s="307"/>
      <c r="BL107" s="307"/>
      <c r="BM107" s="307"/>
      <c r="BN107" s="307"/>
      <c r="BO107" s="307"/>
      <c r="BP107" s="307"/>
      <c r="BQ107" s="307"/>
      <c r="BR107" s="307"/>
      <c r="BS107" s="307"/>
      <c r="BT107" s="307"/>
      <c r="BU107" s="307"/>
      <c r="BV107" s="307"/>
      <c r="BW107" s="307"/>
      <c r="BX107" s="307"/>
      <c r="BY107" s="307"/>
      <c r="BZ107" s="307"/>
      <c r="CA107" s="307"/>
      <c r="CB107" s="307"/>
      <c r="CC107" s="307"/>
      <c r="CD107" s="307"/>
      <c r="CE107" s="307"/>
      <c r="CF107" s="307"/>
      <c r="CG107" s="307"/>
      <c r="CH107" s="307"/>
      <c r="CI107" s="307"/>
      <c r="CJ107" s="307"/>
      <c r="CK107" s="307"/>
      <c r="CL107" s="307"/>
      <c r="CM107" s="307"/>
      <c r="CN107" s="307"/>
      <c r="CO107" s="307"/>
      <c r="CP107" s="307"/>
      <c r="CQ107" s="307"/>
      <c r="CR107" s="307"/>
      <c r="CS107" s="307"/>
      <c r="CT107" s="307"/>
      <c r="CU107" s="307"/>
      <c r="CV107" s="307"/>
      <c r="CW107" s="307"/>
      <c r="CX107" s="307"/>
      <c r="CY107" s="307"/>
      <c r="CZ107" s="307"/>
      <c r="DA107" s="307"/>
      <c r="DB107" s="307"/>
      <c r="DC107" s="307"/>
      <c r="DD107" s="307"/>
      <c r="DE107" s="307"/>
      <c r="DF107" s="307"/>
      <c r="DG107" s="307"/>
      <c r="DH107" s="307"/>
      <c r="DI107" s="307"/>
      <c r="DJ107" s="307"/>
      <c r="DK107" s="307"/>
      <c r="DL107" s="307"/>
      <c r="DM107" s="307"/>
      <c r="DN107" s="307"/>
      <c r="DO107" s="307"/>
      <c r="DP107" s="307"/>
      <c r="DQ107" s="307"/>
      <c r="DR107" s="307"/>
      <c r="DS107" s="307"/>
      <c r="DT107" s="307"/>
      <c r="DU107" s="307"/>
      <c r="DV107" s="307"/>
      <c r="DW107" s="307"/>
      <c r="DX107" s="307"/>
      <c r="DY107" s="307"/>
      <c r="DZ107" s="307"/>
      <c r="EA107" s="307"/>
      <c r="EB107" s="307"/>
      <c r="EC107" s="307"/>
      <c r="ED107" s="307"/>
      <c r="EE107" s="307"/>
      <c r="EF107" s="307"/>
      <c r="EG107" s="307"/>
      <c r="EH107" s="307"/>
      <c r="EI107" s="307"/>
      <c r="EJ107" s="307"/>
      <c r="EK107" s="307"/>
      <c r="EL107" s="307"/>
      <c r="EM107" s="307"/>
      <c r="EN107" s="307"/>
      <c r="EO107" s="307"/>
      <c r="EP107" s="307"/>
      <c r="EQ107" s="307"/>
      <c r="ER107" s="307"/>
      <c r="ES107" s="307"/>
      <c r="ET107" s="307"/>
      <c r="EU107" s="307"/>
      <c r="EV107" s="307"/>
      <c r="EW107" s="307"/>
      <c r="EX107" s="307"/>
      <c r="EY107" s="307"/>
      <c r="EZ107" s="307"/>
      <c r="FA107" s="307"/>
      <c r="FB107" s="307"/>
      <c r="FC107" s="307"/>
      <c r="FD107" s="307"/>
      <c r="FE107" s="307"/>
      <c r="FF107" s="307"/>
      <c r="FG107" s="307"/>
      <c r="FH107" s="307"/>
      <c r="FI107" s="307"/>
      <c r="FJ107" s="307"/>
      <c r="FK107" s="307"/>
      <c r="FL107" s="307"/>
      <c r="FM107" s="307"/>
      <c r="FN107" s="307"/>
      <c r="FO107" s="307"/>
      <c r="FP107" s="307"/>
      <c r="FQ107" s="307"/>
      <c r="FR107" s="307"/>
      <c r="FS107" s="307"/>
      <c r="FT107" s="307"/>
      <c r="FU107" s="307"/>
      <c r="FV107" s="307"/>
      <c r="FW107" s="307"/>
      <c r="FX107" s="307"/>
      <c r="FY107" s="307"/>
      <c r="FZ107" s="307"/>
      <c r="GA107" s="307"/>
      <c r="GB107" s="307"/>
      <c r="GC107" s="307"/>
      <c r="GD107" s="307"/>
      <c r="GE107" s="307"/>
      <c r="GF107" s="307"/>
      <c r="GG107" s="307"/>
      <c r="GH107" s="307"/>
      <c r="GI107" s="307"/>
      <c r="GJ107" s="307"/>
      <c r="GK107" s="307"/>
      <c r="GL107" s="307"/>
      <c r="GM107" s="307"/>
      <c r="GN107" s="307"/>
      <c r="GO107" s="307"/>
      <c r="GP107" s="307"/>
      <c r="GQ107" s="307"/>
      <c r="GR107" s="307"/>
      <c r="GS107" s="307"/>
      <c r="GT107" s="307"/>
      <c r="GU107" s="307"/>
      <c r="GV107" s="307"/>
      <c r="GW107" s="307"/>
      <c r="GX107" s="307"/>
      <c r="GY107" s="307"/>
      <c r="GZ107" s="307"/>
      <c r="HA107" s="307"/>
      <c r="HB107" s="307"/>
      <c r="HC107" s="307"/>
      <c r="HD107" s="307"/>
      <c r="HE107" s="307"/>
      <c r="HF107" s="307"/>
      <c r="HG107" s="307"/>
      <c r="HH107" s="307"/>
      <c r="HI107" s="307"/>
      <c r="HJ107" s="307"/>
      <c r="HK107" s="307"/>
      <c r="HL107" s="307"/>
      <c r="HM107" s="307"/>
      <c r="HN107" s="307"/>
      <c r="HO107" s="307"/>
      <c r="HP107" s="307"/>
      <c r="HQ107" s="307"/>
      <c r="HR107" s="307"/>
      <c r="HS107" s="307"/>
      <c r="HT107" s="307"/>
      <c r="HU107" s="307"/>
      <c r="HV107" s="307"/>
      <c r="HW107" s="307"/>
      <c r="HX107" s="307"/>
      <c r="HY107" s="307"/>
      <c r="HZ107" s="307"/>
      <c r="IA107" s="307"/>
      <c r="IB107" s="307"/>
    </row>
    <row r="108" spans="1:236" ht="18.75" x14ac:dyDescent="0.3">
      <c r="A108" s="277"/>
      <c r="B108" s="278"/>
      <c r="H108" s="228"/>
      <c r="I108" s="308"/>
      <c r="N108" s="228"/>
      <c r="R108" s="25"/>
      <c r="S108" s="25"/>
      <c r="T108" s="306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4"/>
      <c r="AE108" s="304"/>
      <c r="AF108" s="304"/>
      <c r="AG108" s="304"/>
      <c r="AH108" s="304"/>
      <c r="AI108" s="304"/>
      <c r="AJ108" s="304"/>
      <c r="AK108" s="304"/>
      <c r="AL108" s="304"/>
      <c r="AM108" s="304"/>
      <c r="AN108" s="304"/>
      <c r="AO108" s="304"/>
      <c r="AP108" s="304"/>
      <c r="AQ108" s="304"/>
      <c r="AR108" s="304"/>
      <c r="AS108" s="304"/>
      <c r="AT108" s="304"/>
      <c r="AU108" s="304"/>
      <c r="AV108" s="304"/>
      <c r="AW108" s="304"/>
      <c r="AX108" s="304"/>
      <c r="AY108" s="304"/>
      <c r="AZ108" s="304"/>
      <c r="BA108" s="304"/>
      <c r="BB108" s="304"/>
      <c r="BC108" s="304"/>
      <c r="BD108" s="304"/>
      <c r="BE108" s="304"/>
      <c r="BF108" s="304"/>
      <c r="BG108" s="304"/>
      <c r="BH108" s="304"/>
      <c r="BI108" s="304"/>
      <c r="BJ108" s="304"/>
      <c r="BK108" s="304"/>
      <c r="BL108" s="304"/>
      <c r="BM108" s="304"/>
      <c r="BN108" s="304"/>
      <c r="BO108" s="304"/>
      <c r="BP108" s="304"/>
      <c r="BQ108" s="304"/>
      <c r="BR108" s="304"/>
      <c r="BS108" s="304"/>
      <c r="BT108" s="304"/>
      <c r="BU108" s="304"/>
      <c r="BV108" s="304"/>
      <c r="BW108" s="304"/>
      <c r="BX108" s="304"/>
      <c r="BY108" s="304"/>
      <c r="BZ108" s="304"/>
      <c r="CA108" s="304"/>
      <c r="CB108" s="304"/>
      <c r="CC108" s="304"/>
      <c r="CD108" s="304"/>
      <c r="CE108" s="304"/>
      <c r="CF108" s="304"/>
      <c r="CG108" s="304"/>
      <c r="CH108" s="304"/>
      <c r="CI108" s="304"/>
      <c r="CJ108" s="304"/>
      <c r="CK108" s="304"/>
      <c r="CL108" s="304"/>
      <c r="CM108" s="304"/>
      <c r="CN108" s="304"/>
      <c r="CO108" s="304"/>
      <c r="CP108" s="304"/>
      <c r="CQ108" s="304"/>
      <c r="CR108" s="304"/>
      <c r="CS108" s="304"/>
      <c r="CT108" s="304"/>
      <c r="CU108" s="304"/>
      <c r="CV108" s="304"/>
      <c r="CW108" s="304"/>
      <c r="CX108" s="304"/>
      <c r="CY108" s="304"/>
      <c r="CZ108" s="304"/>
      <c r="DA108" s="304"/>
      <c r="DB108" s="304"/>
      <c r="DC108" s="304"/>
      <c r="DD108" s="304"/>
      <c r="DE108" s="304"/>
      <c r="DF108" s="304"/>
      <c r="DG108" s="304"/>
      <c r="DH108" s="304"/>
      <c r="DI108" s="304"/>
      <c r="DJ108" s="304"/>
      <c r="DK108" s="304"/>
      <c r="DL108" s="304"/>
      <c r="DM108" s="304"/>
      <c r="DN108" s="304"/>
      <c r="DO108" s="304"/>
      <c r="DP108" s="304"/>
      <c r="DQ108" s="304"/>
      <c r="DR108" s="304"/>
      <c r="DS108" s="304"/>
      <c r="DT108" s="304"/>
      <c r="DU108" s="304"/>
      <c r="DV108" s="304"/>
      <c r="DW108" s="304"/>
      <c r="DX108" s="304"/>
      <c r="DY108" s="304"/>
      <c r="DZ108" s="304"/>
      <c r="EA108" s="304"/>
      <c r="EB108" s="304"/>
      <c r="EC108" s="304"/>
      <c r="ED108" s="304"/>
      <c r="EE108" s="304"/>
      <c r="EF108" s="304"/>
      <c r="EG108" s="304"/>
      <c r="EH108" s="304"/>
      <c r="EI108" s="304"/>
      <c r="EJ108" s="304"/>
      <c r="EK108" s="304"/>
      <c r="EL108" s="304"/>
      <c r="EM108" s="304"/>
      <c r="EN108" s="304"/>
      <c r="EO108" s="304"/>
      <c r="EP108" s="304"/>
      <c r="EQ108" s="304"/>
      <c r="ER108" s="304"/>
      <c r="ES108" s="304"/>
      <c r="ET108" s="304"/>
      <c r="EU108" s="304"/>
      <c r="EV108" s="304"/>
      <c r="EW108" s="304"/>
      <c r="EX108" s="304"/>
      <c r="EY108" s="304"/>
      <c r="EZ108" s="304"/>
      <c r="FA108" s="304"/>
      <c r="FB108" s="304"/>
      <c r="FC108" s="304"/>
      <c r="FD108" s="304"/>
      <c r="FE108" s="304"/>
      <c r="FF108" s="304"/>
      <c r="FG108" s="304"/>
      <c r="FH108" s="304"/>
      <c r="FI108" s="304"/>
      <c r="FJ108" s="304"/>
      <c r="FK108" s="304"/>
      <c r="FL108" s="304"/>
      <c r="FM108" s="304"/>
      <c r="FN108" s="304"/>
      <c r="FO108" s="304"/>
      <c r="FP108" s="304"/>
      <c r="FQ108" s="304"/>
      <c r="FR108" s="304"/>
      <c r="FS108" s="304"/>
      <c r="FT108" s="304"/>
      <c r="FU108" s="304"/>
      <c r="FV108" s="304"/>
      <c r="FW108" s="304"/>
      <c r="FX108" s="304"/>
      <c r="FY108" s="304"/>
      <c r="FZ108" s="304"/>
      <c r="GA108" s="304"/>
      <c r="GB108" s="304"/>
      <c r="GC108" s="304"/>
      <c r="GD108" s="304"/>
      <c r="GE108" s="304"/>
      <c r="GF108" s="304"/>
      <c r="GG108" s="304"/>
      <c r="GH108" s="304"/>
      <c r="GI108" s="304"/>
      <c r="GJ108" s="304"/>
      <c r="GK108" s="304"/>
      <c r="GL108" s="304"/>
      <c r="GM108" s="304"/>
      <c r="GN108" s="304"/>
      <c r="GO108" s="304"/>
      <c r="GP108" s="304"/>
      <c r="GQ108" s="304"/>
      <c r="GR108" s="304"/>
      <c r="GS108" s="304"/>
      <c r="GT108" s="304"/>
      <c r="GU108" s="304"/>
      <c r="GV108" s="304"/>
      <c r="GW108" s="304"/>
      <c r="GX108" s="304"/>
      <c r="GY108" s="304"/>
      <c r="GZ108" s="304"/>
      <c r="HA108" s="304"/>
      <c r="HB108" s="304"/>
      <c r="HC108" s="304"/>
      <c r="HD108" s="304"/>
      <c r="HE108" s="304"/>
      <c r="HF108" s="304"/>
      <c r="HG108" s="304"/>
      <c r="HH108" s="304"/>
      <c r="HI108" s="304"/>
      <c r="HJ108" s="304"/>
      <c r="HK108" s="304"/>
      <c r="HL108" s="304"/>
      <c r="HM108" s="304"/>
      <c r="HN108" s="304"/>
      <c r="HO108" s="304"/>
      <c r="HP108" s="304"/>
      <c r="HQ108" s="304"/>
      <c r="HR108" s="304"/>
      <c r="HS108" s="304"/>
      <c r="HT108" s="304"/>
      <c r="HU108" s="304"/>
      <c r="HV108" s="304"/>
      <c r="HW108" s="304"/>
      <c r="HX108" s="304"/>
      <c r="HY108" s="304"/>
      <c r="HZ108" s="304"/>
      <c r="IA108" s="304"/>
      <c r="IB108" s="304"/>
    </row>
    <row r="109" spans="1:236" ht="18.75" outlineLevel="1" x14ac:dyDescent="0.3">
      <c r="C109" s="278"/>
      <c r="H109" s="228"/>
      <c r="N109" s="228"/>
      <c r="O109" s="228"/>
      <c r="P109" s="228"/>
      <c r="Q109" s="228"/>
      <c r="R109" s="25"/>
      <c r="S109" s="25"/>
      <c r="T109" s="309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10"/>
      <c r="AG109" s="310"/>
      <c r="AH109" s="310"/>
      <c r="AI109" s="310"/>
      <c r="AJ109" s="310"/>
      <c r="AK109" s="310"/>
      <c r="AL109" s="310"/>
      <c r="AM109" s="310"/>
      <c r="AN109" s="310"/>
      <c r="AO109" s="310"/>
      <c r="AP109" s="310"/>
      <c r="AQ109" s="310"/>
      <c r="AR109" s="310"/>
      <c r="AS109" s="310"/>
      <c r="AT109" s="310"/>
      <c r="AU109" s="310"/>
      <c r="AV109" s="310"/>
      <c r="AW109" s="310"/>
      <c r="AX109" s="310"/>
      <c r="AY109" s="310"/>
      <c r="AZ109" s="310"/>
      <c r="BA109" s="310"/>
      <c r="BB109" s="310"/>
      <c r="BC109" s="310"/>
      <c r="BD109" s="310"/>
      <c r="BE109" s="310"/>
      <c r="BF109" s="310"/>
      <c r="BG109" s="310"/>
      <c r="BH109" s="310"/>
      <c r="BI109" s="310"/>
      <c r="BJ109" s="310"/>
      <c r="BK109" s="310"/>
      <c r="BL109" s="310"/>
      <c r="BM109" s="310"/>
      <c r="BN109" s="310"/>
      <c r="BO109" s="310"/>
      <c r="BP109" s="310"/>
      <c r="BQ109" s="310"/>
      <c r="BR109" s="310"/>
      <c r="BS109" s="310"/>
      <c r="BT109" s="310"/>
      <c r="BU109" s="310"/>
      <c r="BV109" s="310"/>
      <c r="BW109" s="310"/>
      <c r="BX109" s="310"/>
      <c r="BY109" s="310"/>
      <c r="BZ109" s="310"/>
      <c r="CA109" s="310"/>
      <c r="CB109" s="310"/>
      <c r="CC109" s="310"/>
      <c r="CD109" s="310"/>
      <c r="CE109" s="310"/>
      <c r="CF109" s="310"/>
      <c r="CG109" s="310"/>
      <c r="CH109" s="310"/>
      <c r="CI109" s="310"/>
      <c r="CJ109" s="310"/>
      <c r="CK109" s="310"/>
      <c r="CL109" s="310"/>
      <c r="CM109" s="310"/>
      <c r="CN109" s="310"/>
      <c r="CO109" s="310"/>
      <c r="CP109" s="310"/>
      <c r="CQ109" s="310"/>
      <c r="CR109" s="310"/>
      <c r="CS109" s="310"/>
      <c r="CT109" s="310"/>
      <c r="CU109" s="310"/>
      <c r="CV109" s="310"/>
      <c r="CW109" s="310"/>
      <c r="CX109" s="310"/>
      <c r="CY109" s="310"/>
      <c r="CZ109" s="310"/>
      <c r="DA109" s="310"/>
      <c r="DB109" s="310"/>
      <c r="DC109" s="310"/>
      <c r="DD109" s="310"/>
      <c r="DE109" s="310"/>
      <c r="DF109" s="310"/>
      <c r="DG109" s="310"/>
      <c r="DH109" s="310"/>
      <c r="DI109" s="310"/>
      <c r="DJ109" s="310"/>
      <c r="DK109" s="310"/>
      <c r="DL109" s="310"/>
      <c r="DM109" s="310"/>
      <c r="DN109" s="310"/>
      <c r="DO109" s="310"/>
      <c r="DP109" s="310"/>
      <c r="DQ109" s="310"/>
      <c r="DR109" s="310"/>
      <c r="DS109" s="310"/>
      <c r="DT109" s="310"/>
      <c r="DU109" s="310"/>
      <c r="DV109" s="310"/>
      <c r="DW109" s="310"/>
      <c r="DX109" s="310"/>
      <c r="DY109" s="310"/>
      <c r="DZ109" s="310"/>
      <c r="EA109" s="310"/>
      <c r="EB109" s="310"/>
      <c r="EC109" s="310"/>
      <c r="ED109" s="310"/>
      <c r="EE109" s="310"/>
      <c r="EF109" s="310"/>
      <c r="EG109" s="310"/>
      <c r="EH109" s="310"/>
      <c r="EI109" s="310"/>
      <c r="EJ109" s="310"/>
      <c r="EK109" s="310"/>
      <c r="EL109" s="310"/>
      <c r="EM109" s="310"/>
      <c r="EN109" s="310"/>
      <c r="EO109" s="310"/>
      <c r="EP109" s="310"/>
      <c r="EQ109" s="310"/>
      <c r="ER109" s="310"/>
      <c r="ES109" s="310"/>
      <c r="ET109" s="310"/>
      <c r="EU109" s="310"/>
      <c r="EV109" s="310"/>
      <c r="EW109" s="310"/>
      <c r="EX109" s="310"/>
      <c r="EY109" s="310"/>
      <c r="EZ109" s="310"/>
      <c r="FA109" s="310"/>
      <c r="FB109" s="310"/>
      <c r="FC109" s="310"/>
      <c r="FD109" s="310"/>
      <c r="FE109" s="310"/>
      <c r="FF109" s="310"/>
      <c r="FG109" s="310"/>
      <c r="FH109" s="310"/>
      <c r="FI109" s="310"/>
      <c r="FJ109" s="310"/>
      <c r="FK109" s="310"/>
      <c r="FL109" s="310"/>
      <c r="FM109" s="310"/>
      <c r="FN109" s="310"/>
      <c r="FO109" s="310"/>
      <c r="FP109" s="310"/>
      <c r="FQ109" s="310"/>
      <c r="FR109" s="310"/>
      <c r="FS109" s="310"/>
      <c r="FT109" s="310"/>
      <c r="FU109" s="310"/>
      <c r="FV109" s="310"/>
      <c r="FW109" s="310"/>
      <c r="FX109" s="310"/>
      <c r="FY109" s="310"/>
      <c r="FZ109" s="310"/>
      <c r="GA109" s="310"/>
      <c r="GB109" s="310"/>
      <c r="GC109" s="310"/>
      <c r="GD109" s="310"/>
      <c r="GE109" s="310"/>
      <c r="GF109" s="310"/>
      <c r="GG109" s="310"/>
      <c r="GH109" s="310"/>
      <c r="GI109" s="310"/>
      <c r="GJ109" s="310"/>
      <c r="GK109" s="310"/>
      <c r="GL109" s="310"/>
      <c r="GM109" s="310"/>
      <c r="GN109" s="310"/>
      <c r="GO109" s="310"/>
      <c r="GP109" s="310"/>
      <c r="GQ109" s="310"/>
      <c r="GR109" s="310"/>
      <c r="GS109" s="310"/>
      <c r="GT109" s="310"/>
      <c r="GU109" s="310"/>
      <c r="GV109" s="310"/>
      <c r="GW109" s="310"/>
      <c r="GX109" s="310"/>
      <c r="GY109" s="310"/>
      <c r="GZ109" s="310"/>
      <c r="HA109" s="310"/>
      <c r="HB109" s="310"/>
      <c r="HC109" s="310"/>
      <c r="HD109" s="310"/>
      <c r="HE109" s="310"/>
      <c r="HF109" s="310"/>
      <c r="HG109" s="310"/>
      <c r="HH109" s="310"/>
      <c r="HI109" s="310"/>
      <c r="HJ109" s="310"/>
      <c r="HK109" s="310"/>
      <c r="HL109" s="310"/>
      <c r="HM109" s="310"/>
      <c r="HN109" s="310"/>
      <c r="HO109" s="310"/>
      <c r="HP109" s="310"/>
      <c r="HQ109" s="310"/>
      <c r="HR109" s="310"/>
      <c r="HS109" s="310"/>
      <c r="HT109" s="310"/>
      <c r="HU109" s="310"/>
      <c r="HV109" s="310"/>
      <c r="HW109" s="310"/>
      <c r="HX109" s="310"/>
      <c r="HY109" s="310"/>
      <c r="HZ109" s="310"/>
      <c r="IA109" s="310"/>
      <c r="IB109" s="310"/>
    </row>
    <row r="110" spans="1:236" ht="18.75" outlineLevel="1" x14ac:dyDescent="0.3">
      <c r="H110" s="228"/>
      <c r="N110" s="228"/>
      <c r="O110" s="228"/>
      <c r="P110" s="228"/>
      <c r="Q110" s="228"/>
      <c r="R110" s="25"/>
      <c r="S110" s="25"/>
      <c r="T110" s="306"/>
      <c r="U110" s="303"/>
      <c r="V110" s="304"/>
      <c r="W110" s="304"/>
      <c r="X110" s="304"/>
      <c r="Y110" s="304"/>
      <c r="Z110" s="304"/>
      <c r="AA110" s="304"/>
      <c r="AB110" s="304"/>
      <c r="AC110" s="304"/>
      <c r="AD110" s="304"/>
      <c r="AE110" s="304"/>
      <c r="AF110" s="304"/>
      <c r="AG110" s="304"/>
      <c r="AH110" s="304"/>
      <c r="AI110" s="304"/>
      <c r="AJ110" s="304"/>
      <c r="AK110" s="304"/>
      <c r="AL110" s="304"/>
      <c r="AM110" s="304"/>
      <c r="AN110" s="304"/>
      <c r="AO110" s="304"/>
      <c r="AP110" s="304"/>
      <c r="AQ110" s="304"/>
      <c r="AR110" s="304"/>
      <c r="AS110" s="304"/>
      <c r="AT110" s="304"/>
      <c r="AU110" s="304"/>
      <c r="AV110" s="304"/>
      <c r="AW110" s="304"/>
      <c r="AX110" s="304"/>
      <c r="AY110" s="304"/>
      <c r="AZ110" s="304"/>
      <c r="BA110" s="304"/>
      <c r="BB110" s="304"/>
      <c r="BC110" s="304"/>
      <c r="BD110" s="304"/>
      <c r="BE110" s="304"/>
      <c r="BF110" s="304"/>
      <c r="BG110" s="304"/>
      <c r="BH110" s="304"/>
      <c r="BI110" s="304"/>
      <c r="BJ110" s="304"/>
      <c r="BK110" s="304"/>
      <c r="BL110" s="304"/>
      <c r="BM110" s="304"/>
      <c r="BN110" s="304"/>
      <c r="BO110" s="304"/>
      <c r="BP110" s="304"/>
      <c r="BQ110" s="304"/>
      <c r="BR110" s="304"/>
      <c r="BS110" s="304"/>
      <c r="BT110" s="304"/>
      <c r="BU110" s="304"/>
      <c r="BV110" s="304"/>
      <c r="BW110" s="304"/>
      <c r="BX110" s="304"/>
      <c r="BY110" s="304"/>
      <c r="BZ110" s="304"/>
      <c r="CA110" s="304"/>
      <c r="CB110" s="304"/>
      <c r="CC110" s="304"/>
      <c r="CD110" s="304"/>
      <c r="CE110" s="304"/>
      <c r="CF110" s="304"/>
      <c r="CG110" s="304"/>
      <c r="CH110" s="304"/>
      <c r="CI110" s="304"/>
      <c r="CJ110" s="304"/>
      <c r="CK110" s="304"/>
      <c r="CL110" s="304"/>
      <c r="CM110" s="304"/>
      <c r="CN110" s="304"/>
      <c r="CO110" s="304"/>
      <c r="CP110" s="304"/>
      <c r="CQ110" s="304"/>
      <c r="CR110" s="304"/>
      <c r="CS110" s="304"/>
      <c r="CT110" s="304"/>
      <c r="CU110" s="304"/>
      <c r="CV110" s="304"/>
      <c r="CW110" s="304"/>
      <c r="CX110" s="304"/>
      <c r="CY110" s="304"/>
      <c r="CZ110" s="304"/>
      <c r="DA110" s="304"/>
      <c r="DB110" s="304"/>
      <c r="DC110" s="304"/>
      <c r="DD110" s="304"/>
      <c r="DE110" s="304"/>
      <c r="DF110" s="304"/>
      <c r="DG110" s="304"/>
      <c r="DH110" s="304"/>
      <c r="DI110" s="304"/>
      <c r="DJ110" s="304"/>
      <c r="DK110" s="304"/>
      <c r="DL110" s="304"/>
      <c r="DM110" s="304"/>
      <c r="DN110" s="304"/>
      <c r="DO110" s="304"/>
      <c r="DP110" s="304"/>
      <c r="DQ110" s="304"/>
      <c r="DR110" s="304"/>
      <c r="DS110" s="304"/>
      <c r="DT110" s="304"/>
      <c r="DU110" s="304"/>
      <c r="DV110" s="304"/>
      <c r="DW110" s="304"/>
      <c r="DX110" s="304"/>
      <c r="DY110" s="304"/>
      <c r="DZ110" s="304"/>
      <c r="EA110" s="304"/>
      <c r="EB110" s="304"/>
      <c r="EC110" s="304"/>
      <c r="ED110" s="304"/>
      <c r="EE110" s="304"/>
      <c r="EF110" s="304"/>
      <c r="EG110" s="304"/>
      <c r="EH110" s="304"/>
      <c r="EI110" s="304"/>
      <c r="EJ110" s="304"/>
      <c r="EK110" s="304"/>
      <c r="EL110" s="304"/>
      <c r="EM110" s="304"/>
      <c r="EN110" s="304"/>
      <c r="EO110" s="304"/>
      <c r="EP110" s="304"/>
      <c r="EQ110" s="304"/>
      <c r="ER110" s="304"/>
      <c r="ES110" s="304"/>
      <c r="ET110" s="304"/>
      <c r="EU110" s="304"/>
      <c r="EV110" s="304"/>
      <c r="EW110" s="304"/>
      <c r="EX110" s="304"/>
      <c r="EY110" s="304"/>
      <c r="EZ110" s="304"/>
      <c r="FA110" s="304"/>
      <c r="FB110" s="304"/>
      <c r="FC110" s="304"/>
      <c r="FD110" s="304"/>
      <c r="FE110" s="304"/>
      <c r="FF110" s="304"/>
      <c r="FG110" s="304"/>
      <c r="FH110" s="304"/>
      <c r="FI110" s="304"/>
      <c r="FJ110" s="304"/>
      <c r="FK110" s="304"/>
      <c r="FL110" s="304"/>
      <c r="FM110" s="304"/>
      <c r="FN110" s="304"/>
      <c r="FO110" s="304"/>
      <c r="FP110" s="304"/>
      <c r="FQ110" s="304"/>
      <c r="FR110" s="304"/>
      <c r="FS110" s="304"/>
      <c r="FT110" s="304"/>
      <c r="FU110" s="304"/>
      <c r="FV110" s="304"/>
      <c r="FW110" s="304"/>
      <c r="FX110" s="304"/>
      <c r="FY110" s="304"/>
      <c r="FZ110" s="304"/>
      <c r="GA110" s="304"/>
      <c r="GB110" s="304"/>
      <c r="GC110" s="304"/>
      <c r="GD110" s="304"/>
      <c r="GE110" s="304"/>
      <c r="GF110" s="304"/>
      <c r="GG110" s="304"/>
      <c r="GH110" s="304"/>
      <c r="GI110" s="304"/>
      <c r="GJ110" s="304"/>
      <c r="GK110" s="304"/>
      <c r="GL110" s="304"/>
      <c r="GM110" s="304"/>
      <c r="GN110" s="304"/>
      <c r="GO110" s="304"/>
      <c r="GP110" s="304"/>
      <c r="GQ110" s="304"/>
      <c r="GR110" s="304"/>
      <c r="GS110" s="304"/>
      <c r="GT110" s="304"/>
      <c r="GU110" s="304"/>
      <c r="GV110" s="304"/>
      <c r="GW110" s="304"/>
      <c r="GX110" s="304"/>
      <c r="GY110" s="304"/>
      <c r="GZ110" s="304"/>
      <c r="HA110" s="304"/>
      <c r="HB110" s="304"/>
      <c r="HC110" s="304"/>
      <c r="HD110" s="304"/>
      <c r="HE110" s="304"/>
      <c r="HF110" s="304"/>
      <c r="HG110" s="304"/>
      <c r="HH110" s="304"/>
      <c r="HI110" s="304"/>
      <c r="HJ110" s="304"/>
      <c r="HK110" s="304"/>
      <c r="HL110" s="304"/>
      <c r="HM110" s="304"/>
      <c r="HN110" s="304"/>
      <c r="HO110" s="304"/>
      <c r="HP110" s="304"/>
      <c r="HQ110" s="304"/>
      <c r="HR110" s="304"/>
      <c r="HS110" s="304"/>
      <c r="HT110" s="304"/>
      <c r="HU110" s="304"/>
      <c r="HV110" s="304"/>
      <c r="HW110" s="304"/>
      <c r="HX110" s="304"/>
      <c r="HY110" s="304"/>
      <c r="HZ110" s="304"/>
      <c r="IA110" s="304"/>
      <c r="IB110" s="304"/>
    </row>
    <row r="111" spans="1:236" ht="18.75" x14ac:dyDescent="0.3">
      <c r="H111" s="228"/>
      <c r="N111" s="228"/>
      <c r="O111" s="25"/>
      <c r="P111" s="25"/>
      <c r="Q111" s="25"/>
      <c r="R111" s="25"/>
      <c r="S111" s="25"/>
      <c r="T111" s="306"/>
      <c r="U111" s="311"/>
      <c r="V111" s="312"/>
      <c r="W111" s="312"/>
      <c r="X111" s="312"/>
      <c r="Y111" s="312"/>
      <c r="Z111" s="312"/>
      <c r="AA111" s="312"/>
      <c r="AB111" s="312"/>
      <c r="AC111" s="312"/>
      <c r="AD111" s="312"/>
      <c r="AE111" s="312"/>
      <c r="AF111" s="312"/>
      <c r="AG111" s="312"/>
      <c r="AH111" s="312"/>
      <c r="AI111" s="312"/>
      <c r="AJ111" s="312"/>
      <c r="AK111" s="312"/>
      <c r="AL111" s="312"/>
      <c r="AM111" s="312"/>
      <c r="AN111" s="312"/>
      <c r="AO111" s="312"/>
      <c r="AP111" s="312"/>
      <c r="AQ111" s="312"/>
      <c r="AR111" s="312"/>
      <c r="AS111" s="312"/>
      <c r="AT111" s="312"/>
      <c r="AU111" s="312"/>
      <c r="AV111" s="312"/>
      <c r="AW111" s="312"/>
      <c r="AX111" s="312"/>
      <c r="AY111" s="312"/>
      <c r="AZ111" s="312"/>
      <c r="BA111" s="312"/>
      <c r="BB111" s="312"/>
      <c r="BC111" s="312"/>
      <c r="BD111" s="312"/>
      <c r="BE111" s="312"/>
      <c r="BF111" s="312"/>
      <c r="BG111" s="312"/>
      <c r="BH111" s="312"/>
      <c r="BI111" s="312"/>
      <c r="BJ111" s="312"/>
      <c r="BK111" s="312"/>
      <c r="BL111" s="312"/>
      <c r="BM111" s="312"/>
      <c r="BN111" s="312"/>
      <c r="BO111" s="312"/>
      <c r="BP111" s="312"/>
      <c r="BQ111" s="312"/>
      <c r="BR111" s="312"/>
      <c r="BS111" s="312"/>
      <c r="BT111" s="312"/>
      <c r="BU111" s="312"/>
      <c r="BV111" s="312"/>
      <c r="BW111" s="312"/>
      <c r="BX111" s="312"/>
      <c r="BY111" s="312"/>
      <c r="BZ111" s="312"/>
      <c r="CA111" s="312"/>
      <c r="CB111" s="312"/>
      <c r="CC111" s="312"/>
      <c r="CD111" s="312"/>
      <c r="CE111" s="312"/>
      <c r="CF111" s="312"/>
      <c r="CG111" s="312"/>
      <c r="CH111" s="312"/>
      <c r="CI111" s="312"/>
      <c r="CJ111" s="312"/>
      <c r="CK111" s="312"/>
      <c r="CL111" s="312"/>
      <c r="CM111" s="312"/>
      <c r="CN111" s="312"/>
      <c r="CO111" s="312"/>
      <c r="CP111" s="312"/>
      <c r="CQ111" s="312"/>
      <c r="CR111" s="312"/>
      <c r="CS111" s="312"/>
      <c r="CT111" s="312"/>
      <c r="CU111" s="312"/>
      <c r="CV111" s="312"/>
      <c r="CW111" s="312"/>
      <c r="CX111" s="312"/>
      <c r="CY111" s="312"/>
      <c r="CZ111" s="312"/>
      <c r="DA111" s="312"/>
      <c r="DB111" s="312"/>
      <c r="DC111" s="312"/>
      <c r="DD111" s="312"/>
      <c r="DE111" s="312"/>
      <c r="DF111" s="312"/>
      <c r="DG111" s="312"/>
      <c r="DH111" s="312"/>
      <c r="DI111" s="312"/>
      <c r="DJ111" s="312"/>
      <c r="DK111" s="312"/>
      <c r="DL111" s="312"/>
      <c r="DM111" s="312"/>
      <c r="DN111" s="312"/>
      <c r="DO111" s="312"/>
      <c r="DP111" s="312"/>
      <c r="DQ111" s="312"/>
      <c r="DR111" s="312"/>
      <c r="DS111" s="312"/>
      <c r="DT111" s="312"/>
      <c r="DU111" s="312"/>
      <c r="DV111" s="312"/>
      <c r="DW111" s="312"/>
      <c r="DX111" s="312"/>
      <c r="DY111" s="312"/>
      <c r="DZ111" s="312"/>
      <c r="EA111" s="312"/>
      <c r="EB111" s="312"/>
      <c r="EC111" s="312"/>
      <c r="ED111" s="312"/>
      <c r="EE111" s="312"/>
      <c r="EF111" s="312"/>
      <c r="EG111" s="312"/>
      <c r="EH111" s="312"/>
      <c r="EI111" s="312"/>
      <c r="EJ111" s="312"/>
      <c r="EK111" s="312"/>
      <c r="EL111" s="312"/>
      <c r="EM111" s="312"/>
      <c r="EN111" s="312"/>
      <c r="EO111" s="312"/>
      <c r="EP111" s="312"/>
      <c r="EQ111" s="312"/>
      <c r="ER111" s="312"/>
      <c r="ES111" s="312"/>
      <c r="ET111" s="312"/>
      <c r="EU111" s="312"/>
      <c r="EV111" s="312"/>
      <c r="EW111" s="312"/>
      <c r="EX111" s="312"/>
      <c r="EY111" s="312"/>
      <c r="EZ111" s="312"/>
      <c r="FA111" s="312"/>
      <c r="FB111" s="312"/>
      <c r="FC111" s="312"/>
      <c r="FD111" s="312"/>
      <c r="FE111" s="312"/>
      <c r="FF111" s="312"/>
      <c r="FG111" s="312"/>
      <c r="FH111" s="312"/>
      <c r="FI111" s="312"/>
      <c r="FJ111" s="312"/>
      <c r="FK111" s="312"/>
      <c r="FL111" s="312"/>
      <c r="FM111" s="312"/>
      <c r="FN111" s="312"/>
      <c r="FO111" s="312"/>
      <c r="FP111" s="312"/>
      <c r="FQ111" s="312"/>
      <c r="FR111" s="312"/>
      <c r="FS111" s="312"/>
      <c r="FT111" s="312"/>
      <c r="FU111" s="312"/>
      <c r="FV111" s="312"/>
      <c r="FW111" s="312"/>
      <c r="FX111" s="312"/>
      <c r="FY111" s="312"/>
      <c r="FZ111" s="312"/>
      <c r="GA111" s="312"/>
      <c r="GB111" s="312"/>
      <c r="GC111" s="312"/>
      <c r="GD111" s="312"/>
      <c r="GE111" s="312"/>
      <c r="GF111" s="312"/>
      <c r="GG111" s="312"/>
      <c r="GH111" s="312"/>
      <c r="GI111" s="312"/>
      <c r="GJ111" s="312"/>
      <c r="GK111" s="312"/>
      <c r="GL111" s="312"/>
      <c r="GM111" s="312"/>
      <c r="GN111" s="312"/>
      <c r="GO111" s="312"/>
      <c r="GP111" s="312"/>
      <c r="GQ111" s="312"/>
      <c r="GR111" s="312"/>
      <c r="GS111" s="312"/>
      <c r="GT111" s="312"/>
      <c r="GU111" s="312"/>
      <c r="GV111" s="312"/>
      <c r="GW111" s="312"/>
      <c r="GX111" s="312"/>
      <c r="GY111" s="312"/>
      <c r="GZ111" s="312"/>
      <c r="HA111" s="312"/>
      <c r="HB111" s="312"/>
      <c r="HC111" s="312"/>
      <c r="HD111" s="312"/>
      <c r="HE111" s="312"/>
      <c r="HF111" s="312"/>
      <c r="HG111" s="312"/>
      <c r="HH111" s="312"/>
      <c r="HI111" s="312"/>
      <c r="HJ111" s="312"/>
      <c r="HK111" s="312"/>
      <c r="HL111" s="312"/>
      <c r="HM111" s="312"/>
      <c r="HN111" s="312"/>
      <c r="HO111" s="312"/>
      <c r="HP111" s="312"/>
      <c r="HQ111" s="312"/>
      <c r="HR111" s="312"/>
      <c r="HS111" s="312"/>
      <c r="HT111" s="312"/>
      <c r="HU111" s="312"/>
      <c r="HV111" s="312"/>
      <c r="HW111" s="312"/>
      <c r="HX111" s="312"/>
      <c r="HY111" s="312"/>
      <c r="HZ111" s="312"/>
      <c r="IA111" s="312"/>
      <c r="IB111" s="312"/>
    </row>
    <row r="112" spans="1:236" ht="18.75" x14ac:dyDescent="0.3">
      <c r="H112" s="228"/>
      <c r="N112" s="228"/>
      <c r="O112" s="25"/>
      <c r="P112" s="25"/>
      <c r="Q112" s="25"/>
      <c r="R112" s="25"/>
      <c r="S112" s="25"/>
      <c r="T112" s="306"/>
      <c r="U112" s="307"/>
      <c r="V112" s="312"/>
      <c r="W112" s="312"/>
      <c r="X112" s="312"/>
      <c r="Y112" s="312"/>
      <c r="Z112" s="312"/>
      <c r="AA112" s="312"/>
      <c r="AB112" s="312"/>
      <c r="AC112" s="312"/>
      <c r="AD112" s="312"/>
      <c r="AE112" s="312"/>
      <c r="AF112" s="312"/>
      <c r="AG112" s="312"/>
      <c r="AH112" s="312"/>
      <c r="AI112" s="312"/>
      <c r="AJ112" s="312"/>
      <c r="AK112" s="312"/>
      <c r="AL112" s="312"/>
      <c r="AM112" s="312"/>
      <c r="AN112" s="312"/>
      <c r="AO112" s="312"/>
      <c r="AP112" s="312"/>
      <c r="AQ112" s="312"/>
      <c r="AR112" s="312"/>
      <c r="AS112" s="312"/>
      <c r="AT112" s="312"/>
      <c r="AU112" s="312"/>
      <c r="AV112" s="312"/>
      <c r="AW112" s="312"/>
      <c r="AX112" s="312"/>
      <c r="AY112" s="312"/>
      <c r="AZ112" s="312"/>
      <c r="BA112" s="312"/>
      <c r="BB112" s="312"/>
      <c r="BC112" s="312"/>
      <c r="BD112" s="312"/>
      <c r="BE112" s="312"/>
      <c r="BF112" s="312"/>
      <c r="BG112" s="312"/>
      <c r="BH112" s="312"/>
      <c r="BI112" s="312"/>
      <c r="BJ112" s="312"/>
      <c r="BK112" s="312"/>
      <c r="BL112" s="312"/>
      <c r="BM112" s="312"/>
      <c r="BN112" s="312"/>
      <c r="BO112" s="312"/>
      <c r="BP112" s="312"/>
      <c r="BQ112" s="312"/>
      <c r="BR112" s="312"/>
      <c r="BS112" s="312"/>
      <c r="BT112" s="312"/>
      <c r="BU112" s="312"/>
      <c r="BV112" s="312"/>
      <c r="BW112" s="312"/>
      <c r="BX112" s="312"/>
      <c r="BY112" s="312"/>
      <c r="BZ112" s="312"/>
      <c r="CA112" s="312"/>
      <c r="CB112" s="312"/>
      <c r="CC112" s="312"/>
      <c r="CD112" s="312"/>
      <c r="CE112" s="312"/>
      <c r="CF112" s="312"/>
      <c r="CG112" s="312"/>
      <c r="CH112" s="312"/>
      <c r="CI112" s="312"/>
      <c r="CJ112" s="312"/>
      <c r="CK112" s="312"/>
      <c r="CL112" s="312"/>
      <c r="CM112" s="312"/>
      <c r="CN112" s="312"/>
      <c r="CO112" s="312"/>
      <c r="CP112" s="312"/>
      <c r="CQ112" s="312"/>
      <c r="CR112" s="312"/>
      <c r="CS112" s="312"/>
      <c r="CT112" s="312"/>
      <c r="CU112" s="312"/>
      <c r="CV112" s="312"/>
      <c r="CW112" s="312"/>
      <c r="CX112" s="312"/>
      <c r="CY112" s="312"/>
      <c r="CZ112" s="312"/>
      <c r="DA112" s="312"/>
      <c r="DB112" s="312"/>
      <c r="DC112" s="312"/>
      <c r="DD112" s="312"/>
      <c r="DE112" s="312"/>
      <c r="DF112" s="312"/>
      <c r="DG112" s="312"/>
      <c r="DH112" s="312"/>
      <c r="DI112" s="312"/>
      <c r="DJ112" s="312"/>
      <c r="DK112" s="312"/>
      <c r="DL112" s="312"/>
      <c r="DM112" s="312"/>
      <c r="DN112" s="312"/>
      <c r="DO112" s="312"/>
      <c r="DP112" s="312"/>
      <c r="DQ112" s="312"/>
      <c r="DR112" s="312"/>
      <c r="DS112" s="312"/>
      <c r="DT112" s="312"/>
      <c r="DU112" s="312"/>
      <c r="DV112" s="312"/>
      <c r="DW112" s="312"/>
      <c r="DX112" s="312"/>
      <c r="DY112" s="312"/>
      <c r="DZ112" s="312"/>
      <c r="EA112" s="312"/>
      <c r="EB112" s="312"/>
      <c r="EC112" s="312"/>
      <c r="ED112" s="312"/>
      <c r="EE112" s="312"/>
      <c r="EF112" s="312"/>
      <c r="EG112" s="312"/>
      <c r="EH112" s="312"/>
      <c r="EI112" s="312"/>
      <c r="EJ112" s="312"/>
      <c r="EK112" s="312"/>
      <c r="EL112" s="312"/>
      <c r="EM112" s="312"/>
      <c r="EN112" s="312"/>
      <c r="EO112" s="312"/>
      <c r="EP112" s="312"/>
      <c r="EQ112" s="312"/>
      <c r="ER112" s="312"/>
      <c r="ES112" s="312"/>
      <c r="ET112" s="312"/>
      <c r="EU112" s="312"/>
      <c r="EV112" s="312"/>
      <c r="EW112" s="312"/>
      <c r="EX112" s="312"/>
      <c r="EY112" s="312"/>
      <c r="EZ112" s="312"/>
      <c r="FA112" s="312"/>
      <c r="FB112" s="312"/>
      <c r="FC112" s="312"/>
      <c r="FD112" s="312"/>
      <c r="FE112" s="312"/>
      <c r="FF112" s="312"/>
      <c r="FG112" s="312"/>
      <c r="FH112" s="312"/>
      <c r="FI112" s="312"/>
      <c r="FJ112" s="312"/>
      <c r="FK112" s="312"/>
      <c r="FL112" s="312"/>
      <c r="FM112" s="312"/>
      <c r="FN112" s="312"/>
      <c r="FO112" s="312"/>
      <c r="FP112" s="312"/>
      <c r="FQ112" s="312"/>
      <c r="FR112" s="312"/>
      <c r="FS112" s="312"/>
      <c r="FT112" s="312"/>
      <c r="FU112" s="312"/>
      <c r="FV112" s="312"/>
      <c r="FW112" s="312"/>
      <c r="FX112" s="312"/>
      <c r="FY112" s="312"/>
      <c r="FZ112" s="312"/>
      <c r="GA112" s="312"/>
      <c r="GB112" s="312"/>
      <c r="GC112" s="312"/>
      <c r="GD112" s="312"/>
      <c r="GE112" s="312"/>
      <c r="GF112" s="312"/>
      <c r="GG112" s="312"/>
      <c r="GH112" s="312"/>
      <c r="GI112" s="312"/>
      <c r="GJ112" s="312"/>
      <c r="GK112" s="312"/>
      <c r="GL112" s="312"/>
      <c r="GM112" s="312"/>
      <c r="GN112" s="312"/>
      <c r="GO112" s="312"/>
      <c r="GP112" s="312"/>
      <c r="GQ112" s="312"/>
      <c r="GR112" s="312"/>
      <c r="GS112" s="312"/>
      <c r="GT112" s="312"/>
      <c r="GU112" s="312"/>
      <c r="GV112" s="312"/>
      <c r="GW112" s="312"/>
      <c r="GX112" s="312"/>
      <c r="GY112" s="312"/>
      <c r="GZ112" s="312"/>
      <c r="HA112" s="312"/>
      <c r="HB112" s="312"/>
      <c r="HC112" s="312"/>
      <c r="HD112" s="312"/>
      <c r="HE112" s="312"/>
      <c r="HF112" s="312"/>
      <c r="HG112" s="312"/>
      <c r="HH112" s="312"/>
      <c r="HI112" s="312"/>
      <c r="HJ112" s="312"/>
      <c r="HK112" s="312"/>
      <c r="HL112" s="312"/>
      <c r="HM112" s="312"/>
      <c r="HN112" s="312"/>
      <c r="HO112" s="312"/>
      <c r="HP112" s="312"/>
      <c r="HQ112" s="312"/>
      <c r="HR112" s="312"/>
      <c r="HS112" s="312"/>
      <c r="HT112" s="312"/>
      <c r="HU112" s="312"/>
      <c r="HV112" s="312"/>
      <c r="HW112" s="312"/>
      <c r="HX112" s="312"/>
      <c r="HY112" s="312"/>
      <c r="HZ112" s="312"/>
      <c r="IA112" s="312"/>
      <c r="IB112" s="312"/>
    </row>
    <row r="113" spans="1:236" ht="18.75" x14ac:dyDescent="0.3">
      <c r="H113" s="228"/>
      <c r="N113" s="228"/>
      <c r="O113" s="25"/>
      <c r="P113" s="25"/>
      <c r="Q113" s="25"/>
      <c r="R113" s="25"/>
      <c r="S113" s="25"/>
      <c r="T113" s="306"/>
      <c r="U113" s="313"/>
      <c r="V113" s="314"/>
      <c r="W113" s="314"/>
      <c r="X113" s="314"/>
      <c r="Y113" s="314"/>
      <c r="Z113" s="314"/>
      <c r="AA113" s="314"/>
      <c r="AB113" s="314"/>
      <c r="AC113" s="314"/>
      <c r="AD113" s="314"/>
      <c r="AE113" s="314"/>
      <c r="AF113" s="314"/>
      <c r="AG113" s="314"/>
      <c r="AH113" s="314"/>
      <c r="AI113" s="314"/>
      <c r="AJ113" s="314"/>
      <c r="AK113" s="314"/>
      <c r="AL113" s="314"/>
      <c r="AM113" s="314"/>
      <c r="AN113" s="314"/>
      <c r="AO113" s="314"/>
      <c r="AP113" s="314"/>
      <c r="AQ113" s="314"/>
      <c r="AR113" s="314"/>
      <c r="AS113" s="314"/>
      <c r="AT113" s="314"/>
      <c r="AU113" s="314"/>
      <c r="AV113" s="314"/>
      <c r="AW113" s="314"/>
      <c r="AX113" s="314"/>
      <c r="AY113" s="314"/>
      <c r="AZ113" s="314"/>
      <c r="BA113" s="314"/>
      <c r="BB113" s="314"/>
      <c r="BC113" s="314"/>
      <c r="BD113" s="314"/>
      <c r="BE113" s="314"/>
      <c r="BF113" s="314"/>
      <c r="BG113" s="314"/>
      <c r="BH113" s="314"/>
      <c r="BI113" s="314"/>
      <c r="BJ113" s="314"/>
      <c r="BK113" s="314"/>
      <c r="BL113" s="314"/>
      <c r="BM113" s="314"/>
      <c r="BN113" s="314"/>
      <c r="BO113" s="314"/>
      <c r="BP113" s="314"/>
      <c r="BQ113" s="314"/>
      <c r="BR113" s="314"/>
      <c r="BS113" s="314"/>
      <c r="BT113" s="314"/>
      <c r="BU113" s="314"/>
      <c r="BV113" s="314"/>
      <c r="BW113" s="314"/>
      <c r="BX113" s="314"/>
      <c r="BY113" s="314"/>
      <c r="BZ113" s="314"/>
      <c r="CA113" s="314"/>
      <c r="CB113" s="314"/>
      <c r="CC113" s="314"/>
      <c r="CD113" s="314"/>
      <c r="CE113" s="314"/>
      <c r="CF113" s="314"/>
      <c r="CG113" s="314"/>
      <c r="CH113" s="314"/>
      <c r="CI113" s="314"/>
      <c r="CJ113" s="314"/>
      <c r="CK113" s="314"/>
      <c r="CL113" s="314"/>
      <c r="CM113" s="314"/>
      <c r="CN113" s="314"/>
      <c r="CO113" s="314"/>
      <c r="CP113" s="314"/>
      <c r="CQ113" s="314"/>
      <c r="CR113" s="314"/>
      <c r="CS113" s="314"/>
      <c r="CT113" s="314"/>
      <c r="CU113" s="314"/>
      <c r="CV113" s="314"/>
      <c r="CW113" s="314"/>
      <c r="CX113" s="314"/>
      <c r="CY113" s="314"/>
      <c r="CZ113" s="314"/>
      <c r="DA113" s="314"/>
      <c r="DB113" s="314"/>
      <c r="DC113" s="314"/>
      <c r="DD113" s="314"/>
      <c r="DE113" s="314"/>
      <c r="DF113" s="314"/>
      <c r="DG113" s="314"/>
      <c r="DH113" s="314"/>
      <c r="DI113" s="314"/>
      <c r="DJ113" s="314"/>
      <c r="DK113" s="314"/>
      <c r="DL113" s="314"/>
      <c r="DM113" s="314"/>
      <c r="DN113" s="314"/>
      <c r="DO113" s="314"/>
      <c r="DP113" s="314"/>
      <c r="DQ113" s="314"/>
      <c r="DR113" s="314"/>
      <c r="DS113" s="314"/>
      <c r="DT113" s="314"/>
      <c r="DU113" s="314"/>
      <c r="DV113" s="314"/>
      <c r="DW113" s="314"/>
      <c r="DX113" s="314"/>
      <c r="DY113" s="314"/>
      <c r="DZ113" s="314"/>
      <c r="EA113" s="314"/>
      <c r="EB113" s="314"/>
      <c r="EC113" s="314"/>
      <c r="ED113" s="314"/>
      <c r="EE113" s="314"/>
      <c r="EF113" s="314"/>
      <c r="EG113" s="314"/>
      <c r="EH113" s="314"/>
      <c r="EI113" s="314"/>
      <c r="EJ113" s="314"/>
      <c r="EK113" s="314"/>
      <c r="EL113" s="314"/>
      <c r="EM113" s="314"/>
      <c r="EN113" s="314"/>
      <c r="EO113" s="314"/>
      <c r="EP113" s="314"/>
      <c r="EQ113" s="314"/>
      <c r="ER113" s="314"/>
      <c r="ES113" s="314"/>
      <c r="ET113" s="314"/>
      <c r="EU113" s="314"/>
      <c r="EV113" s="314"/>
      <c r="EW113" s="314"/>
      <c r="EX113" s="314"/>
      <c r="EY113" s="314"/>
      <c r="EZ113" s="314"/>
      <c r="FA113" s="314"/>
      <c r="FB113" s="314"/>
      <c r="FC113" s="314"/>
      <c r="FD113" s="314"/>
      <c r="FE113" s="314"/>
      <c r="FF113" s="314"/>
      <c r="FG113" s="314"/>
      <c r="FH113" s="314"/>
      <c r="FI113" s="314"/>
      <c r="FJ113" s="314"/>
      <c r="FK113" s="314"/>
      <c r="FL113" s="314"/>
      <c r="FM113" s="314"/>
      <c r="FN113" s="314"/>
      <c r="FO113" s="314"/>
      <c r="FP113" s="314"/>
      <c r="FQ113" s="314"/>
      <c r="FR113" s="314"/>
      <c r="FS113" s="314"/>
      <c r="FT113" s="314"/>
      <c r="FU113" s="314"/>
      <c r="FV113" s="314"/>
      <c r="FW113" s="314"/>
      <c r="FX113" s="314"/>
      <c r="FY113" s="314"/>
      <c r="FZ113" s="314"/>
      <c r="GA113" s="314"/>
      <c r="GB113" s="314"/>
      <c r="GC113" s="314"/>
      <c r="GD113" s="314"/>
      <c r="GE113" s="314"/>
      <c r="GF113" s="314"/>
      <c r="GG113" s="314"/>
      <c r="GH113" s="314"/>
      <c r="GI113" s="314"/>
      <c r="GJ113" s="314"/>
      <c r="GK113" s="314"/>
      <c r="GL113" s="314"/>
      <c r="GM113" s="314"/>
      <c r="GN113" s="314"/>
      <c r="GO113" s="314"/>
      <c r="GP113" s="314"/>
      <c r="GQ113" s="314"/>
      <c r="GR113" s="314"/>
      <c r="GS113" s="314"/>
      <c r="GT113" s="314"/>
      <c r="GU113" s="314"/>
      <c r="GV113" s="314"/>
      <c r="GW113" s="314"/>
      <c r="GX113" s="314"/>
      <c r="GY113" s="314"/>
      <c r="GZ113" s="314"/>
      <c r="HA113" s="314"/>
      <c r="HB113" s="314"/>
      <c r="HC113" s="314"/>
      <c r="HD113" s="314"/>
      <c r="HE113" s="314"/>
      <c r="HF113" s="314"/>
      <c r="HG113" s="314"/>
      <c r="HH113" s="314"/>
      <c r="HI113" s="314"/>
      <c r="HJ113" s="314"/>
      <c r="HK113" s="314"/>
      <c r="HL113" s="314"/>
      <c r="HM113" s="314"/>
      <c r="HN113" s="314"/>
      <c r="HO113" s="314"/>
      <c r="HP113" s="314"/>
      <c r="HQ113" s="314"/>
      <c r="HR113" s="314"/>
      <c r="HS113" s="314"/>
      <c r="HT113" s="314"/>
      <c r="HU113" s="314"/>
      <c r="HV113" s="314"/>
      <c r="HW113" s="314"/>
      <c r="HX113" s="314"/>
      <c r="HY113" s="314"/>
      <c r="HZ113" s="314"/>
      <c r="IA113" s="314"/>
      <c r="IB113" s="314"/>
    </row>
    <row r="114" spans="1:236" ht="18.75" x14ac:dyDescent="0.3">
      <c r="A114" s="277"/>
      <c r="B114" s="278"/>
      <c r="H114" s="228"/>
      <c r="N114" s="228"/>
      <c r="O114" s="25"/>
      <c r="P114" s="25"/>
      <c r="Q114" s="25"/>
      <c r="R114" s="25"/>
      <c r="S114" s="25"/>
      <c r="T114" s="301"/>
      <c r="U114" s="307"/>
      <c r="V114" s="302"/>
      <c r="W114" s="302"/>
      <c r="X114" s="302"/>
      <c r="Y114" s="302"/>
      <c r="Z114" s="302"/>
      <c r="AA114" s="302"/>
      <c r="AB114" s="302"/>
      <c r="AC114" s="302"/>
      <c r="AD114" s="302"/>
      <c r="AE114" s="302"/>
      <c r="AF114" s="302"/>
      <c r="AG114" s="302"/>
      <c r="AH114" s="302"/>
      <c r="AI114" s="302"/>
      <c r="AJ114" s="302"/>
      <c r="AK114" s="302"/>
      <c r="AL114" s="302"/>
      <c r="AM114" s="302"/>
      <c r="AN114" s="302"/>
      <c r="AO114" s="302"/>
      <c r="AP114" s="302"/>
      <c r="AQ114" s="302"/>
      <c r="AR114" s="302"/>
      <c r="AS114" s="302"/>
      <c r="AT114" s="302"/>
      <c r="AU114" s="302"/>
      <c r="AV114" s="302"/>
      <c r="AW114" s="302"/>
      <c r="AX114" s="302"/>
      <c r="AY114" s="302"/>
      <c r="AZ114" s="302"/>
      <c r="BA114" s="302"/>
      <c r="BB114" s="302"/>
      <c r="BC114" s="302"/>
      <c r="BD114" s="302"/>
      <c r="BE114" s="302"/>
      <c r="BF114" s="302"/>
      <c r="BG114" s="302"/>
      <c r="BH114" s="302"/>
      <c r="BI114" s="302"/>
      <c r="BJ114" s="302"/>
      <c r="BK114" s="302"/>
      <c r="BL114" s="302"/>
      <c r="BM114" s="302"/>
      <c r="BN114" s="302"/>
      <c r="BO114" s="302"/>
      <c r="BP114" s="302"/>
      <c r="BQ114" s="302"/>
      <c r="BR114" s="302"/>
      <c r="BS114" s="302"/>
      <c r="BT114" s="302"/>
      <c r="BU114" s="302"/>
      <c r="BV114" s="302"/>
      <c r="BW114" s="302"/>
      <c r="BX114" s="302"/>
      <c r="BY114" s="302"/>
      <c r="BZ114" s="302"/>
      <c r="CA114" s="302"/>
      <c r="CB114" s="302"/>
      <c r="CC114" s="302"/>
      <c r="CD114" s="302"/>
      <c r="CE114" s="302"/>
      <c r="CF114" s="302"/>
      <c r="CG114" s="302"/>
      <c r="CH114" s="302"/>
      <c r="CI114" s="302"/>
      <c r="CJ114" s="302"/>
      <c r="CK114" s="302"/>
      <c r="CL114" s="302"/>
      <c r="CM114" s="302"/>
      <c r="CN114" s="302"/>
      <c r="CO114" s="302"/>
      <c r="CP114" s="302"/>
      <c r="CQ114" s="302"/>
      <c r="CR114" s="302"/>
      <c r="CS114" s="302"/>
      <c r="CT114" s="302"/>
      <c r="CU114" s="302"/>
      <c r="CV114" s="302"/>
      <c r="CW114" s="302"/>
      <c r="CX114" s="302"/>
      <c r="CY114" s="302"/>
      <c r="CZ114" s="302"/>
      <c r="DA114" s="302"/>
      <c r="DB114" s="302"/>
      <c r="DC114" s="302"/>
      <c r="DD114" s="302"/>
      <c r="DE114" s="302"/>
      <c r="DF114" s="302"/>
      <c r="DG114" s="302"/>
      <c r="DH114" s="302"/>
      <c r="DI114" s="302"/>
      <c r="DJ114" s="302"/>
      <c r="DK114" s="302"/>
      <c r="DL114" s="302"/>
      <c r="DM114" s="302"/>
      <c r="DN114" s="302"/>
      <c r="DO114" s="302"/>
      <c r="DP114" s="302"/>
      <c r="DQ114" s="302"/>
      <c r="DR114" s="302"/>
      <c r="DS114" s="302"/>
      <c r="DT114" s="302"/>
      <c r="DU114" s="302"/>
      <c r="DV114" s="302"/>
      <c r="DW114" s="302"/>
      <c r="DX114" s="302"/>
      <c r="DY114" s="302"/>
      <c r="DZ114" s="302"/>
      <c r="EA114" s="302"/>
      <c r="EB114" s="302"/>
      <c r="EC114" s="302"/>
      <c r="ED114" s="302"/>
      <c r="EE114" s="302"/>
      <c r="EF114" s="302"/>
      <c r="EG114" s="302"/>
      <c r="EH114" s="302"/>
      <c r="EI114" s="302"/>
      <c r="EJ114" s="302"/>
      <c r="EK114" s="302"/>
      <c r="EL114" s="302"/>
      <c r="EM114" s="302"/>
      <c r="EN114" s="302"/>
      <c r="EO114" s="302"/>
      <c r="EP114" s="302"/>
      <c r="EQ114" s="302"/>
      <c r="ER114" s="302"/>
      <c r="ES114" s="302"/>
      <c r="ET114" s="302"/>
      <c r="EU114" s="302"/>
      <c r="EV114" s="302"/>
      <c r="EW114" s="302"/>
      <c r="EX114" s="302"/>
      <c r="EY114" s="302"/>
      <c r="EZ114" s="302"/>
      <c r="FA114" s="302"/>
      <c r="FB114" s="302"/>
      <c r="FC114" s="302"/>
      <c r="FD114" s="302"/>
      <c r="FE114" s="302"/>
      <c r="FF114" s="302"/>
      <c r="FG114" s="302"/>
      <c r="FH114" s="302"/>
      <c r="FI114" s="302"/>
      <c r="FJ114" s="302"/>
      <c r="FK114" s="302"/>
      <c r="FL114" s="302"/>
      <c r="FM114" s="302"/>
      <c r="FN114" s="302"/>
      <c r="FO114" s="302"/>
      <c r="FP114" s="302"/>
      <c r="FQ114" s="302"/>
      <c r="FR114" s="302"/>
      <c r="FS114" s="302"/>
      <c r="FT114" s="302"/>
      <c r="FU114" s="302"/>
      <c r="FV114" s="302"/>
      <c r="FW114" s="302"/>
      <c r="FX114" s="302"/>
      <c r="FY114" s="302"/>
      <c r="FZ114" s="302"/>
      <c r="GA114" s="302"/>
      <c r="GB114" s="302"/>
      <c r="GC114" s="302"/>
      <c r="GD114" s="302"/>
      <c r="GE114" s="302"/>
      <c r="GF114" s="302"/>
      <c r="GG114" s="302"/>
      <c r="GH114" s="302"/>
      <c r="GI114" s="302"/>
      <c r="GJ114" s="302"/>
      <c r="GK114" s="302"/>
      <c r="GL114" s="302"/>
      <c r="GM114" s="302"/>
      <c r="GN114" s="302"/>
      <c r="GO114" s="302"/>
      <c r="GP114" s="302"/>
      <c r="GQ114" s="302"/>
      <c r="GR114" s="302"/>
      <c r="GS114" s="302"/>
      <c r="GT114" s="302"/>
      <c r="GU114" s="302"/>
      <c r="GV114" s="302"/>
      <c r="GW114" s="302"/>
      <c r="GX114" s="302"/>
      <c r="GY114" s="302"/>
      <c r="GZ114" s="302"/>
      <c r="HA114" s="302"/>
      <c r="HB114" s="302"/>
      <c r="HC114" s="302"/>
      <c r="HD114" s="302"/>
      <c r="HE114" s="302"/>
      <c r="HF114" s="302"/>
      <c r="HG114" s="302"/>
      <c r="HH114" s="302"/>
      <c r="HI114" s="302"/>
      <c r="HJ114" s="302"/>
      <c r="HK114" s="302"/>
      <c r="HL114" s="302"/>
      <c r="HM114" s="302"/>
      <c r="HN114" s="302"/>
      <c r="HO114" s="302"/>
      <c r="HP114" s="302"/>
      <c r="HQ114" s="302"/>
      <c r="HR114" s="302"/>
      <c r="HS114" s="302"/>
      <c r="HT114" s="302"/>
      <c r="HU114" s="302"/>
      <c r="HV114" s="302"/>
      <c r="HW114" s="302"/>
      <c r="HX114" s="302"/>
      <c r="HY114" s="302"/>
      <c r="HZ114" s="302"/>
      <c r="IA114" s="302"/>
      <c r="IB114" s="302"/>
    </row>
    <row r="115" spans="1:236" ht="18.75" x14ac:dyDescent="0.3">
      <c r="A115" s="277"/>
      <c r="B115" s="278"/>
      <c r="C115" s="278"/>
      <c r="H115" s="228"/>
      <c r="N115" s="228"/>
      <c r="O115" s="25"/>
      <c r="P115" s="25"/>
      <c r="Q115" s="25"/>
      <c r="R115" s="315"/>
      <c r="S115" s="25"/>
      <c r="T115" s="301"/>
      <c r="U115" s="307"/>
      <c r="V115" s="302"/>
      <c r="W115" s="302"/>
      <c r="X115" s="302"/>
      <c r="Y115" s="302"/>
      <c r="Z115" s="302"/>
      <c r="AA115" s="302"/>
      <c r="AB115" s="302"/>
      <c r="AC115" s="302"/>
      <c r="AD115" s="302"/>
      <c r="AE115" s="302"/>
      <c r="AF115" s="302"/>
      <c r="AG115" s="302"/>
      <c r="AH115" s="302"/>
      <c r="AI115" s="302"/>
      <c r="AJ115" s="302"/>
      <c r="AK115" s="302"/>
      <c r="AL115" s="302"/>
      <c r="AM115" s="302"/>
      <c r="AN115" s="302"/>
      <c r="AO115" s="302"/>
      <c r="AP115" s="302"/>
      <c r="AQ115" s="302"/>
      <c r="AR115" s="302"/>
      <c r="AS115" s="302"/>
      <c r="AT115" s="302"/>
      <c r="AU115" s="302"/>
      <c r="AV115" s="302"/>
      <c r="AW115" s="302"/>
      <c r="AX115" s="302"/>
      <c r="AY115" s="302"/>
      <c r="AZ115" s="302"/>
      <c r="BA115" s="302"/>
      <c r="BB115" s="302"/>
      <c r="BC115" s="302"/>
      <c r="BD115" s="302"/>
      <c r="BE115" s="302"/>
      <c r="BF115" s="302"/>
      <c r="BG115" s="302"/>
      <c r="BH115" s="302"/>
      <c r="BI115" s="302"/>
      <c r="BJ115" s="302"/>
      <c r="BK115" s="302"/>
      <c r="BL115" s="302"/>
      <c r="BM115" s="302"/>
      <c r="BN115" s="302"/>
      <c r="BO115" s="302"/>
      <c r="BP115" s="302"/>
      <c r="BQ115" s="302"/>
      <c r="BR115" s="302"/>
      <c r="BS115" s="302"/>
      <c r="BT115" s="302"/>
      <c r="BU115" s="302"/>
      <c r="BV115" s="302"/>
      <c r="BW115" s="302"/>
      <c r="BX115" s="302"/>
      <c r="BY115" s="302"/>
      <c r="BZ115" s="302"/>
      <c r="CA115" s="302"/>
      <c r="CB115" s="302"/>
      <c r="CC115" s="302"/>
      <c r="CD115" s="302"/>
      <c r="CE115" s="302"/>
      <c r="CF115" s="302"/>
      <c r="CG115" s="302"/>
      <c r="CH115" s="302"/>
      <c r="CI115" s="302"/>
      <c r="CJ115" s="302"/>
      <c r="CK115" s="302"/>
      <c r="CL115" s="302"/>
      <c r="CM115" s="302"/>
      <c r="CN115" s="302"/>
      <c r="CO115" s="302"/>
      <c r="CP115" s="302"/>
      <c r="CQ115" s="302"/>
      <c r="CR115" s="302"/>
      <c r="CS115" s="302"/>
      <c r="CT115" s="302"/>
      <c r="CU115" s="302"/>
      <c r="CV115" s="302"/>
      <c r="CW115" s="302"/>
      <c r="CX115" s="302"/>
      <c r="CY115" s="302"/>
      <c r="CZ115" s="302"/>
      <c r="DA115" s="302"/>
      <c r="DB115" s="302"/>
      <c r="DC115" s="302"/>
      <c r="DD115" s="302"/>
      <c r="DE115" s="302"/>
      <c r="DF115" s="302"/>
      <c r="DG115" s="302"/>
      <c r="DH115" s="302"/>
      <c r="DI115" s="302"/>
      <c r="DJ115" s="302"/>
      <c r="DK115" s="302"/>
      <c r="DL115" s="302"/>
      <c r="DM115" s="302"/>
      <c r="DN115" s="302"/>
      <c r="DO115" s="302"/>
      <c r="DP115" s="302"/>
      <c r="DQ115" s="302"/>
      <c r="DR115" s="302"/>
      <c r="DS115" s="302"/>
      <c r="DT115" s="302"/>
      <c r="DU115" s="302"/>
      <c r="DV115" s="302"/>
      <c r="DW115" s="302"/>
      <c r="DX115" s="302"/>
      <c r="DY115" s="302"/>
      <c r="DZ115" s="302"/>
      <c r="EA115" s="302"/>
      <c r="EB115" s="302"/>
      <c r="EC115" s="302"/>
      <c r="ED115" s="302"/>
      <c r="EE115" s="302"/>
      <c r="EF115" s="302"/>
      <c r="EG115" s="302"/>
      <c r="EH115" s="302"/>
      <c r="EI115" s="302"/>
      <c r="EJ115" s="302"/>
      <c r="EK115" s="302"/>
      <c r="EL115" s="302"/>
      <c r="EM115" s="302"/>
      <c r="EN115" s="302"/>
      <c r="EO115" s="302"/>
      <c r="EP115" s="302"/>
      <c r="EQ115" s="302"/>
      <c r="ER115" s="302"/>
      <c r="ES115" s="302"/>
      <c r="ET115" s="302"/>
      <c r="EU115" s="302"/>
      <c r="EV115" s="302"/>
      <c r="EW115" s="302"/>
      <c r="EX115" s="302"/>
      <c r="EY115" s="302"/>
      <c r="EZ115" s="302"/>
      <c r="FA115" s="302"/>
      <c r="FB115" s="302"/>
      <c r="FC115" s="302"/>
      <c r="FD115" s="302"/>
      <c r="FE115" s="302"/>
      <c r="FF115" s="302"/>
      <c r="FG115" s="302"/>
      <c r="FH115" s="302"/>
      <c r="FI115" s="302"/>
      <c r="FJ115" s="302"/>
      <c r="FK115" s="302"/>
      <c r="FL115" s="302"/>
      <c r="FM115" s="302"/>
      <c r="FN115" s="302"/>
      <c r="FO115" s="302"/>
      <c r="FP115" s="302"/>
      <c r="FQ115" s="302"/>
      <c r="FR115" s="302"/>
      <c r="FS115" s="302"/>
      <c r="FT115" s="302"/>
      <c r="FU115" s="302"/>
      <c r="FV115" s="302"/>
      <c r="FW115" s="302"/>
      <c r="FX115" s="302"/>
      <c r="FY115" s="302"/>
      <c r="FZ115" s="302"/>
      <c r="GA115" s="302"/>
      <c r="GB115" s="302"/>
      <c r="GC115" s="302"/>
      <c r="GD115" s="302"/>
      <c r="GE115" s="302"/>
      <c r="GF115" s="302"/>
      <c r="GG115" s="302"/>
      <c r="GH115" s="302"/>
      <c r="GI115" s="302"/>
      <c r="GJ115" s="302"/>
      <c r="GK115" s="302"/>
      <c r="GL115" s="302"/>
      <c r="GM115" s="302"/>
      <c r="GN115" s="302"/>
      <c r="GO115" s="302"/>
      <c r="GP115" s="302"/>
      <c r="GQ115" s="302"/>
      <c r="GR115" s="302"/>
      <c r="GS115" s="302"/>
      <c r="GT115" s="302"/>
      <c r="GU115" s="302"/>
      <c r="GV115" s="302"/>
      <c r="GW115" s="302"/>
      <c r="GX115" s="302"/>
      <c r="GY115" s="302"/>
      <c r="GZ115" s="302"/>
      <c r="HA115" s="302"/>
      <c r="HB115" s="302"/>
      <c r="HC115" s="302"/>
      <c r="HD115" s="302"/>
      <c r="HE115" s="302"/>
      <c r="HF115" s="302"/>
      <c r="HG115" s="302"/>
      <c r="HH115" s="302"/>
      <c r="HI115" s="302"/>
      <c r="HJ115" s="302"/>
      <c r="HK115" s="302"/>
      <c r="HL115" s="302"/>
      <c r="HM115" s="302"/>
      <c r="HN115" s="302"/>
      <c r="HO115" s="302"/>
      <c r="HP115" s="302"/>
      <c r="HQ115" s="302"/>
      <c r="HR115" s="302"/>
      <c r="HS115" s="302"/>
      <c r="HT115" s="302"/>
      <c r="HU115" s="302"/>
      <c r="HV115" s="302"/>
      <c r="HW115" s="302"/>
      <c r="HX115" s="302"/>
      <c r="HY115" s="302"/>
      <c r="HZ115" s="302"/>
      <c r="IA115" s="302"/>
      <c r="IB115" s="302"/>
    </row>
    <row r="116" spans="1:236" ht="15" customHeight="1" x14ac:dyDescent="0.3">
      <c r="A116" s="277"/>
      <c r="B116" s="278"/>
      <c r="C116" s="278"/>
      <c r="D116" s="278"/>
      <c r="E116" s="316"/>
      <c r="F116" s="278"/>
      <c r="H116" s="228"/>
      <c r="N116" s="228"/>
      <c r="O116" s="25"/>
      <c r="P116" s="25"/>
      <c r="Q116" s="25"/>
      <c r="R116" s="317"/>
      <c r="S116" s="25"/>
      <c r="T116" s="306"/>
      <c r="U116" s="311"/>
      <c r="V116" s="311"/>
      <c r="W116" s="311"/>
      <c r="X116" s="311"/>
      <c r="Y116" s="311"/>
      <c r="Z116" s="311"/>
      <c r="AA116" s="311"/>
      <c r="AB116" s="311"/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1"/>
      <c r="AM116" s="311"/>
      <c r="AN116" s="311"/>
      <c r="AO116" s="311"/>
      <c r="AP116" s="311"/>
      <c r="AQ116" s="311"/>
      <c r="AR116" s="311"/>
      <c r="AS116" s="311"/>
      <c r="AT116" s="311"/>
      <c r="AU116" s="311"/>
      <c r="AV116" s="311"/>
      <c r="AW116" s="311"/>
      <c r="AX116" s="311"/>
      <c r="AY116" s="311"/>
      <c r="AZ116" s="311"/>
      <c r="BA116" s="311"/>
      <c r="BB116" s="311"/>
      <c r="BC116" s="311"/>
      <c r="BD116" s="311"/>
      <c r="BE116" s="311"/>
      <c r="BF116" s="311"/>
      <c r="BG116" s="311"/>
      <c r="BH116" s="311"/>
      <c r="BI116" s="311"/>
      <c r="BJ116" s="311"/>
      <c r="BK116" s="311"/>
      <c r="BL116" s="311"/>
      <c r="BM116" s="311"/>
      <c r="BN116" s="311"/>
      <c r="BO116" s="311"/>
      <c r="BP116" s="311"/>
      <c r="BQ116" s="311"/>
      <c r="BR116" s="311"/>
      <c r="BS116" s="311"/>
      <c r="BT116" s="311"/>
      <c r="BU116" s="311"/>
      <c r="BV116" s="311"/>
      <c r="BW116" s="311"/>
      <c r="BX116" s="311"/>
      <c r="BY116" s="311"/>
      <c r="BZ116" s="311"/>
      <c r="CA116" s="311"/>
      <c r="CB116" s="311"/>
      <c r="CC116" s="311"/>
      <c r="CD116" s="311"/>
      <c r="CE116" s="311"/>
      <c r="CF116" s="311"/>
      <c r="CG116" s="311"/>
      <c r="CH116" s="311"/>
      <c r="CI116" s="311"/>
      <c r="CJ116" s="311"/>
      <c r="CK116" s="311"/>
      <c r="CL116" s="311"/>
      <c r="CM116" s="311"/>
      <c r="CN116" s="311"/>
      <c r="CO116" s="311"/>
      <c r="CP116" s="311"/>
      <c r="CQ116" s="311"/>
      <c r="CR116" s="311"/>
      <c r="CS116" s="311"/>
      <c r="CT116" s="311"/>
      <c r="CU116" s="311"/>
      <c r="CV116" s="311"/>
      <c r="CW116" s="311"/>
      <c r="CX116" s="311"/>
      <c r="CY116" s="311"/>
      <c r="CZ116" s="311"/>
      <c r="DA116" s="311"/>
      <c r="DB116" s="311"/>
      <c r="DC116" s="311"/>
      <c r="DD116" s="311"/>
      <c r="DE116" s="311"/>
      <c r="DF116" s="311"/>
      <c r="DG116" s="311"/>
      <c r="DH116" s="311"/>
      <c r="DI116" s="311"/>
      <c r="DJ116" s="311"/>
      <c r="DK116" s="311"/>
      <c r="DL116" s="311"/>
      <c r="DM116" s="311"/>
      <c r="DN116" s="311"/>
      <c r="DO116" s="311"/>
      <c r="DP116" s="311"/>
      <c r="DQ116" s="311"/>
      <c r="DR116" s="311"/>
      <c r="DS116" s="311"/>
      <c r="DT116" s="311"/>
      <c r="DU116" s="311"/>
      <c r="DV116" s="311"/>
      <c r="DW116" s="311"/>
      <c r="DX116" s="311"/>
      <c r="DY116" s="311"/>
      <c r="DZ116" s="311"/>
      <c r="EA116" s="311"/>
      <c r="EB116" s="311"/>
      <c r="EC116" s="311"/>
      <c r="ED116" s="311"/>
      <c r="EE116" s="311"/>
      <c r="EF116" s="311"/>
      <c r="EG116" s="311"/>
      <c r="EH116" s="311"/>
      <c r="EI116" s="311"/>
      <c r="EJ116" s="311"/>
      <c r="EK116" s="311"/>
      <c r="EL116" s="311"/>
      <c r="EM116" s="311"/>
      <c r="EN116" s="311"/>
      <c r="EO116" s="311"/>
      <c r="EP116" s="311"/>
      <c r="EQ116" s="311"/>
      <c r="ER116" s="311"/>
      <c r="ES116" s="311"/>
      <c r="ET116" s="311"/>
      <c r="EU116" s="311"/>
      <c r="EV116" s="311"/>
      <c r="EW116" s="311"/>
      <c r="EX116" s="311"/>
      <c r="EY116" s="311"/>
      <c r="EZ116" s="311"/>
      <c r="FA116" s="311"/>
      <c r="FB116" s="311"/>
      <c r="FC116" s="311"/>
      <c r="FD116" s="311"/>
      <c r="FE116" s="311"/>
      <c r="FF116" s="311"/>
      <c r="FG116" s="311"/>
      <c r="FH116" s="311"/>
      <c r="FI116" s="311"/>
      <c r="FJ116" s="311"/>
      <c r="FK116" s="311"/>
      <c r="FL116" s="311"/>
      <c r="FM116" s="311"/>
      <c r="FN116" s="311"/>
      <c r="FO116" s="311"/>
      <c r="FP116" s="311"/>
      <c r="FQ116" s="311"/>
      <c r="FR116" s="311"/>
      <c r="FS116" s="311"/>
      <c r="FT116" s="311"/>
      <c r="FU116" s="311"/>
      <c r="FV116" s="311"/>
      <c r="FW116" s="311"/>
      <c r="FX116" s="311"/>
      <c r="FY116" s="311"/>
      <c r="FZ116" s="311"/>
      <c r="GA116" s="311"/>
      <c r="GB116" s="311"/>
      <c r="GC116" s="311"/>
      <c r="GD116" s="311"/>
      <c r="GE116" s="311"/>
      <c r="GF116" s="311"/>
      <c r="GG116" s="311"/>
      <c r="GH116" s="311"/>
      <c r="GI116" s="311"/>
      <c r="GJ116" s="311"/>
      <c r="GK116" s="311"/>
      <c r="GL116" s="311"/>
      <c r="GM116" s="311"/>
      <c r="GN116" s="311"/>
      <c r="GO116" s="311"/>
      <c r="GP116" s="311"/>
      <c r="GQ116" s="311"/>
      <c r="GR116" s="311"/>
      <c r="GS116" s="311"/>
      <c r="GT116" s="311"/>
      <c r="GU116" s="311"/>
      <c r="GV116" s="311"/>
      <c r="GW116" s="311"/>
      <c r="GX116" s="311"/>
      <c r="GY116" s="311"/>
      <c r="GZ116" s="311"/>
      <c r="HA116" s="311"/>
      <c r="HB116" s="311"/>
      <c r="HC116" s="311"/>
      <c r="HD116" s="311"/>
      <c r="HE116" s="311"/>
      <c r="HF116" s="311"/>
      <c r="HG116" s="311"/>
      <c r="HH116" s="311"/>
      <c r="HI116" s="311"/>
      <c r="HJ116" s="311"/>
      <c r="HK116" s="311"/>
      <c r="HL116" s="311"/>
      <c r="HM116" s="311"/>
      <c r="HN116" s="311"/>
      <c r="HO116" s="311"/>
      <c r="HP116" s="311"/>
      <c r="HQ116" s="311"/>
      <c r="HR116" s="311"/>
      <c r="HS116" s="311"/>
      <c r="HT116" s="311"/>
      <c r="HU116" s="311"/>
      <c r="HV116" s="311"/>
      <c r="HW116" s="311"/>
      <c r="HX116" s="311"/>
      <c r="HY116" s="311"/>
      <c r="HZ116" s="311"/>
      <c r="IA116" s="311"/>
      <c r="IB116" s="311"/>
    </row>
    <row r="117" spans="1:236" ht="3.95" customHeight="1" x14ac:dyDescent="0.3">
      <c r="A117" s="277"/>
      <c r="B117" s="278"/>
      <c r="C117" s="278"/>
      <c r="D117" s="278"/>
      <c r="E117" s="316"/>
      <c r="F117" s="278"/>
      <c r="G117" s="315"/>
      <c r="H117" s="228"/>
      <c r="N117" s="228"/>
      <c r="O117" s="25"/>
      <c r="P117" s="25"/>
      <c r="Q117" s="25"/>
      <c r="R117" s="317"/>
      <c r="S117" s="25"/>
      <c r="T117" s="303"/>
      <c r="U117" s="304"/>
      <c r="V117" s="304"/>
      <c r="W117" s="304"/>
      <c r="X117" s="304"/>
      <c r="Y117" s="304"/>
      <c r="Z117" s="304"/>
      <c r="AA117" s="304"/>
      <c r="AB117" s="304"/>
      <c r="AC117" s="304"/>
      <c r="AD117" s="304"/>
      <c r="AE117" s="304"/>
      <c r="AF117" s="304"/>
      <c r="AG117" s="304"/>
      <c r="AH117" s="304"/>
      <c r="AI117" s="304"/>
      <c r="AJ117" s="304"/>
      <c r="AK117" s="304"/>
      <c r="AL117" s="304"/>
      <c r="AM117" s="304"/>
      <c r="AN117" s="304"/>
      <c r="AO117" s="304"/>
      <c r="AP117" s="304"/>
      <c r="AQ117" s="304"/>
      <c r="AR117" s="304"/>
      <c r="AS117" s="304"/>
      <c r="AT117" s="304"/>
      <c r="AU117" s="304"/>
      <c r="AV117" s="304"/>
      <c r="AW117" s="304"/>
      <c r="AX117" s="304"/>
      <c r="AY117" s="304"/>
      <c r="AZ117" s="304"/>
      <c r="BA117" s="304"/>
      <c r="BB117" s="304"/>
      <c r="BC117" s="304"/>
      <c r="BD117" s="304"/>
      <c r="BE117" s="304"/>
      <c r="BF117" s="304"/>
      <c r="BG117" s="304"/>
      <c r="BH117" s="304"/>
      <c r="BI117" s="304"/>
      <c r="BJ117" s="304"/>
      <c r="BK117" s="304"/>
      <c r="BL117" s="304"/>
      <c r="BM117" s="304"/>
      <c r="BN117" s="304"/>
      <c r="BO117" s="304"/>
      <c r="BP117" s="304"/>
      <c r="BQ117" s="304"/>
      <c r="BR117" s="304"/>
      <c r="BS117" s="304"/>
      <c r="BT117" s="304"/>
      <c r="BU117" s="304"/>
      <c r="BV117" s="304"/>
      <c r="BW117" s="304"/>
      <c r="BX117" s="304"/>
      <c r="BY117" s="304"/>
      <c r="BZ117" s="304"/>
      <c r="CA117" s="304"/>
      <c r="CB117" s="304"/>
      <c r="CC117" s="304"/>
      <c r="CD117" s="304"/>
      <c r="CE117" s="304"/>
      <c r="CF117" s="304"/>
      <c r="CG117" s="304"/>
      <c r="CH117" s="304"/>
      <c r="CI117" s="304"/>
      <c r="CJ117" s="304"/>
      <c r="CK117" s="304"/>
      <c r="CL117" s="304"/>
      <c r="CM117" s="304"/>
      <c r="CN117" s="304"/>
      <c r="CO117" s="304"/>
      <c r="CP117" s="304"/>
      <c r="CQ117" s="304"/>
      <c r="CR117" s="304"/>
      <c r="CS117" s="304"/>
      <c r="CT117" s="304"/>
      <c r="CU117" s="304"/>
      <c r="CV117" s="304"/>
      <c r="CW117" s="304"/>
      <c r="CX117" s="304"/>
      <c r="CY117" s="304"/>
      <c r="CZ117" s="304"/>
      <c r="DA117" s="304"/>
      <c r="DB117" s="304"/>
      <c r="DC117" s="304"/>
      <c r="DD117" s="304"/>
      <c r="DE117" s="304"/>
      <c r="DF117" s="304"/>
      <c r="DG117" s="304"/>
      <c r="DH117" s="304"/>
      <c r="DI117" s="304"/>
      <c r="DJ117" s="304"/>
      <c r="DK117" s="304"/>
      <c r="DL117" s="304"/>
      <c r="DM117" s="304"/>
      <c r="DN117" s="304"/>
      <c r="DO117" s="304"/>
      <c r="DP117" s="304"/>
      <c r="DQ117" s="304"/>
      <c r="DR117" s="304"/>
      <c r="DS117" s="304"/>
      <c r="DT117" s="304"/>
      <c r="DU117" s="304"/>
      <c r="DV117" s="304"/>
      <c r="DW117" s="304"/>
      <c r="DX117" s="304"/>
      <c r="DY117" s="304"/>
      <c r="DZ117" s="304"/>
      <c r="EA117" s="304"/>
      <c r="EB117" s="304"/>
      <c r="EC117" s="304"/>
      <c r="ED117" s="304"/>
      <c r="EE117" s="304"/>
      <c r="EF117" s="304"/>
      <c r="EG117" s="304"/>
      <c r="EH117" s="304"/>
      <c r="EI117" s="304"/>
      <c r="EJ117" s="304"/>
      <c r="EK117" s="304"/>
      <c r="EL117" s="304"/>
      <c r="EM117" s="304"/>
      <c r="EN117" s="304"/>
      <c r="EO117" s="304"/>
      <c r="EP117" s="304"/>
      <c r="EQ117" s="304"/>
      <c r="ER117" s="304"/>
      <c r="ES117" s="304"/>
      <c r="ET117" s="304"/>
      <c r="EU117" s="304"/>
      <c r="EV117" s="304"/>
      <c r="EW117" s="304"/>
      <c r="EX117" s="304"/>
      <c r="EY117" s="304"/>
      <c r="EZ117" s="304"/>
      <c r="FA117" s="304"/>
      <c r="FB117" s="304"/>
      <c r="FC117" s="304"/>
      <c r="FD117" s="304"/>
      <c r="FE117" s="304"/>
      <c r="FF117" s="304"/>
      <c r="FG117" s="304"/>
      <c r="FH117" s="304"/>
      <c r="FI117" s="304"/>
      <c r="FJ117" s="304"/>
      <c r="FK117" s="304"/>
      <c r="FL117" s="304"/>
      <c r="FM117" s="304"/>
      <c r="FN117" s="304"/>
      <c r="FO117" s="304"/>
      <c r="FP117" s="304"/>
      <c r="FQ117" s="304"/>
      <c r="FR117" s="304"/>
      <c r="FS117" s="304"/>
      <c r="FT117" s="304"/>
      <c r="FU117" s="304"/>
      <c r="FV117" s="304"/>
      <c r="FW117" s="304"/>
      <c r="FX117" s="304"/>
      <c r="FY117" s="304"/>
      <c r="FZ117" s="304"/>
      <c r="GA117" s="304"/>
      <c r="GB117" s="304"/>
      <c r="GC117" s="304"/>
      <c r="GD117" s="304"/>
      <c r="GE117" s="304"/>
      <c r="GF117" s="304"/>
      <c r="GG117" s="304"/>
      <c r="GH117" s="304"/>
      <c r="GI117" s="304"/>
      <c r="GJ117" s="304"/>
      <c r="GK117" s="304"/>
      <c r="GL117" s="304"/>
      <c r="GM117" s="304"/>
      <c r="GN117" s="304"/>
      <c r="GO117" s="304"/>
      <c r="GP117" s="304"/>
      <c r="GQ117" s="304"/>
      <c r="GR117" s="304"/>
      <c r="GS117" s="304"/>
      <c r="GT117" s="304"/>
      <c r="GU117" s="304"/>
      <c r="GV117" s="304"/>
      <c r="GW117" s="304"/>
      <c r="GX117" s="304"/>
      <c r="GY117" s="304"/>
      <c r="GZ117" s="304"/>
      <c r="HA117" s="304"/>
      <c r="HB117" s="304"/>
      <c r="HC117" s="304"/>
      <c r="HD117" s="304"/>
      <c r="HE117" s="304"/>
      <c r="HF117" s="304"/>
      <c r="HG117" s="304"/>
      <c r="HH117" s="304"/>
      <c r="HI117" s="304"/>
      <c r="HJ117" s="304"/>
      <c r="HK117" s="304"/>
      <c r="HL117" s="304"/>
      <c r="HM117" s="304"/>
      <c r="HN117" s="304"/>
      <c r="HO117" s="304"/>
      <c r="HP117" s="304"/>
      <c r="HQ117" s="304"/>
      <c r="HR117" s="304"/>
      <c r="HS117" s="304"/>
      <c r="HT117" s="304"/>
      <c r="HU117" s="304"/>
      <c r="HV117" s="304"/>
      <c r="HW117" s="304"/>
      <c r="HX117" s="304"/>
      <c r="HY117" s="304"/>
      <c r="HZ117" s="304"/>
      <c r="IA117" s="304"/>
      <c r="IB117" s="304"/>
    </row>
    <row r="118" spans="1:236" ht="15" customHeight="1" x14ac:dyDescent="0.3">
      <c r="A118" s="277"/>
      <c r="B118" s="278"/>
      <c r="C118" s="278"/>
      <c r="D118" s="278"/>
      <c r="E118" s="278"/>
      <c r="F118" s="278"/>
      <c r="G118" s="317"/>
      <c r="H118" s="228"/>
      <c r="N118" s="228"/>
      <c r="O118" s="25"/>
      <c r="P118" s="25"/>
      <c r="Q118" s="25"/>
      <c r="T118" s="303"/>
      <c r="U118" s="304"/>
      <c r="V118" s="304"/>
      <c r="W118" s="304"/>
      <c r="X118" s="304"/>
      <c r="Y118" s="304"/>
      <c r="Z118" s="304"/>
      <c r="AA118" s="304"/>
      <c r="AB118" s="304"/>
      <c r="AC118" s="304"/>
      <c r="AD118" s="304"/>
      <c r="AE118" s="304"/>
      <c r="AF118" s="304"/>
      <c r="AG118" s="304"/>
      <c r="AH118" s="304"/>
      <c r="AI118" s="304"/>
      <c r="AJ118" s="304"/>
      <c r="AK118" s="304"/>
      <c r="AL118" s="304"/>
      <c r="AM118" s="304"/>
      <c r="AN118" s="304"/>
      <c r="AO118" s="304"/>
      <c r="AP118" s="304"/>
      <c r="AQ118" s="304"/>
      <c r="AR118" s="304"/>
      <c r="AS118" s="304"/>
      <c r="AT118" s="304"/>
      <c r="AU118" s="304"/>
      <c r="AV118" s="304"/>
      <c r="AW118" s="304"/>
      <c r="AX118" s="304"/>
      <c r="AY118" s="304"/>
      <c r="AZ118" s="304"/>
      <c r="BA118" s="304"/>
      <c r="BB118" s="304"/>
      <c r="BC118" s="304"/>
      <c r="BD118" s="304"/>
      <c r="BE118" s="304"/>
      <c r="BF118" s="304"/>
      <c r="BG118" s="304"/>
      <c r="BH118" s="304"/>
      <c r="BI118" s="304"/>
      <c r="BJ118" s="304"/>
      <c r="BK118" s="304"/>
      <c r="BL118" s="304"/>
      <c r="BM118" s="304"/>
      <c r="BN118" s="304"/>
      <c r="BO118" s="304"/>
      <c r="BP118" s="304"/>
      <c r="BQ118" s="304"/>
      <c r="BR118" s="304"/>
      <c r="BS118" s="304"/>
      <c r="BT118" s="304"/>
      <c r="BU118" s="304"/>
      <c r="BV118" s="304"/>
      <c r="BW118" s="304"/>
      <c r="BX118" s="304"/>
      <c r="BY118" s="304"/>
      <c r="BZ118" s="304"/>
      <c r="CA118" s="304"/>
      <c r="CB118" s="304"/>
      <c r="CC118" s="304"/>
      <c r="CD118" s="304"/>
      <c r="CE118" s="304"/>
      <c r="CF118" s="304"/>
      <c r="CG118" s="304"/>
      <c r="CH118" s="304"/>
      <c r="CI118" s="304"/>
      <c r="CJ118" s="304"/>
      <c r="CK118" s="304"/>
      <c r="CL118" s="304"/>
      <c r="CM118" s="304"/>
      <c r="CN118" s="304"/>
      <c r="CO118" s="304"/>
      <c r="CP118" s="304"/>
      <c r="CQ118" s="304"/>
      <c r="CR118" s="304"/>
      <c r="CS118" s="304"/>
      <c r="CT118" s="304"/>
      <c r="CU118" s="304"/>
      <c r="CV118" s="304"/>
      <c r="CW118" s="304"/>
      <c r="CX118" s="304"/>
      <c r="CY118" s="304"/>
      <c r="CZ118" s="304"/>
      <c r="DA118" s="304"/>
      <c r="DB118" s="304"/>
      <c r="DC118" s="304"/>
      <c r="DD118" s="304"/>
      <c r="DE118" s="304"/>
      <c r="DF118" s="304"/>
      <c r="DG118" s="304"/>
      <c r="DH118" s="304"/>
      <c r="DI118" s="304"/>
      <c r="DJ118" s="304"/>
      <c r="DK118" s="304"/>
      <c r="DL118" s="304"/>
      <c r="DM118" s="304"/>
      <c r="DN118" s="304"/>
      <c r="DO118" s="304"/>
      <c r="DP118" s="304"/>
      <c r="DQ118" s="304"/>
      <c r="DR118" s="304"/>
      <c r="DS118" s="304"/>
      <c r="DT118" s="304"/>
      <c r="DU118" s="304"/>
      <c r="DV118" s="304"/>
      <c r="DW118" s="304"/>
      <c r="DX118" s="304"/>
      <c r="DY118" s="304"/>
      <c r="DZ118" s="304"/>
      <c r="EA118" s="304"/>
      <c r="EB118" s="304"/>
      <c r="EC118" s="304"/>
      <c r="ED118" s="304"/>
      <c r="EE118" s="304"/>
      <c r="EF118" s="304"/>
      <c r="EG118" s="304"/>
      <c r="EH118" s="304"/>
      <c r="EI118" s="304"/>
      <c r="EJ118" s="304"/>
      <c r="EK118" s="304"/>
      <c r="EL118" s="304"/>
      <c r="EM118" s="304"/>
      <c r="EN118" s="304"/>
      <c r="EO118" s="304"/>
      <c r="EP118" s="304"/>
      <c r="EQ118" s="304"/>
      <c r="ER118" s="304"/>
      <c r="ES118" s="304"/>
      <c r="ET118" s="304"/>
      <c r="EU118" s="304"/>
      <c r="EV118" s="304"/>
      <c r="EW118" s="304"/>
      <c r="EX118" s="304"/>
      <c r="EY118" s="304"/>
      <c r="EZ118" s="304"/>
      <c r="FA118" s="304"/>
      <c r="FB118" s="304"/>
      <c r="FC118" s="304"/>
      <c r="FD118" s="304"/>
      <c r="FE118" s="304"/>
      <c r="FF118" s="304"/>
      <c r="FG118" s="304"/>
      <c r="FH118" s="304"/>
      <c r="FI118" s="304"/>
      <c r="FJ118" s="304"/>
      <c r="FK118" s="304"/>
      <c r="FL118" s="304"/>
      <c r="FM118" s="304"/>
      <c r="FN118" s="304"/>
      <c r="FO118" s="304"/>
      <c r="FP118" s="304"/>
      <c r="FQ118" s="304"/>
      <c r="FR118" s="304"/>
      <c r="FS118" s="304"/>
      <c r="FT118" s="304"/>
      <c r="FU118" s="304"/>
      <c r="FV118" s="304"/>
      <c r="FW118" s="304"/>
      <c r="FX118" s="304"/>
      <c r="FY118" s="304"/>
      <c r="FZ118" s="304"/>
      <c r="GA118" s="304"/>
      <c r="GB118" s="304"/>
      <c r="GC118" s="304"/>
      <c r="GD118" s="304"/>
      <c r="GE118" s="304"/>
      <c r="GF118" s="304"/>
      <c r="GG118" s="304"/>
      <c r="GH118" s="304"/>
      <c r="GI118" s="304"/>
      <c r="GJ118" s="304"/>
      <c r="GK118" s="304"/>
      <c r="GL118" s="304"/>
      <c r="GM118" s="304"/>
      <c r="GN118" s="304"/>
      <c r="GO118" s="304"/>
      <c r="GP118" s="304"/>
      <c r="GQ118" s="304"/>
      <c r="GR118" s="304"/>
      <c r="GS118" s="304"/>
      <c r="GT118" s="304"/>
      <c r="GU118" s="304"/>
      <c r="GV118" s="304"/>
      <c r="GW118" s="304"/>
      <c r="GX118" s="304"/>
      <c r="GY118" s="304"/>
      <c r="GZ118" s="304"/>
      <c r="HA118" s="304"/>
      <c r="HB118" s="304"/>
      <c r="HC118" s="304"/>
      <c r="HD118" s="304"/>
      <c r="HE118" s="304"/>
      <c r="HF118" s="304"/>
      <c r="HG118" s="304"/>
      <c r="HH118" s="304"/>
      <c r="HI118" s="304"/>
      <c r="HJ118" s="304"/>
      <c r="HK118" s="304"/>
      <c r="HL118" s="304"/>
      <c r="HM118" s="304"/>
      <c r="HN118" s="304"/>
      <c r="HO118" s="304"/>
      <c r="HP118" s="304"/>
      <c r="HQ118" s="304"/>
      <c r="HR118" s="304"/>
      <c r="HS118" s="304"/>
      <c r="HT118" s="304"/>
      <c r="HU118" s="304"/>
      <c r="HV118" s="304"/>
      <c r="HW118" s="304"/>
      <c r="HX118" s="304"/>
      <c r="HY118" s="304"/>
      <c r="HZ118" s="304"/>
      <c r="IA118" s="304"/>
      <c r="IB118" s="304"/>
    </row>
    <row r="119" spans="1:236" ht="15" customHeight="1" x14ac:dyDescent="0.3">
      <c r="A119" s="277"/>
      <c r="B119" s="278"/>
      <c r="C119" s="278"/>
      <c r="D119" s="278"/>
      <c r="E119" s="278"/>
      <c r="F119" s="278"/>
      <c r="G119" s="317"/>
      <c r="H119" s="228"/>
      <c r="N119" s="228"/>
      <c r="O119" s="25"/>
      <c r="P119" s="25"/>
      <c r="Q119" s="25"/>
      <c r="T119" s="303"/>
      <c r="U119" s="304"/>
      <c r="V119" s="304"/>
      <c r="W119" s="304"/>
      <c r="X119" s="304"/>
      <c r="Y119" s="304"/>
      <c r="Z119" s="304"/>
      <c r="AA119" s="304"/>
      <c r="AB119" s="304"/>
      <c r="AC119" s="304"/>
      <c r="AD119" s="304"/>
      <c r="AE119" s="304"/>
      <c r="AF119" s="304"/>
      <c r="AG119" s="304"/>
      <c r="AH119" s="304"/>
      <c r="AI119" s="304"/>
      <c r="AJ119" s="304"/>
      <c r="AK119" s="304"/>
      <c r="AL119" s="304"/>
      <c r="AM119" s="304"/>
      <c r="AN119" s="304"/>
      <c r="AO119" s="304"/>
      <c r="AP119" s="304"/>
      <c r="AQ119" s="304"/>
      <c r="AR119" s="304"/>
      <c r="AS119" s="304"/>
      <c r="AT119" s="304"/>
      <c r="AU119" s="304"/>
      <c r="AV119" s="304"/>
      <c r="AW119" s="304"/>
      <c r="AX119" s="304"/>
      <c r="AY119" s="304"/>
      <c r="AZ119" s="304"/>
      <c r="BA119" s="304"/>
      <c r="BB119" s="304"/>
      <c r="BC119" s="304"/>
      <c r="BD119" s="304"/>
      <c r="BE119" s="304"/>
      <c r="BF119" s="304"/>
      <c r="BG119" s="304"/>
      <c r="BH119" s="304"/>
      <c r="BI119" s="304"/>
      <c r="BJ119" s="304"/>
      <c r="BK119" s="304"/>
      <c r="BL119" s="304"/>
      <c r="BM119" s="304"/>
      <c r="BN119" s="304"/>
      <c r="BO119" s="304"/>
      <c r="BP119" s="304"/>
      <c r="BQ119" s="304"/>
      <c r="BR119" s="304"/>
      <c r="BS119" s="304"/>
      <c r="BT119" s="304"/>
      <c r="BU119" s="304"/>
      <c r="BV119" s="304"/>
      <c r="BW119" s="304"/>
      <c r="BX119" s="304"/>
      <c r="BY119" s="304"/>
      <c r="BZ119" s="304"/>
      <c r="CA119" s="304"/>
      <c r="CB119" s="304"/>
      <c r="CC119" s="304"/>
      <c r="CD119" s="304"/>
      <c r="CE119" s="304"/>
      <c r="CF119" s="304"/>
      <c r="CG119" s="304"/>
      <c r="CH119" s="304"/>
      <c r="CI119" s="304"/>
      <c r="CJ119" s="304"/>
      <c r="CK119" s="304"/>
      <c r="CL119" s="304"/>
      <c r="CM119" s="304"/>
      <c r="CN119" s="304"/>
      <c r="CO119" s="304"/>
      <c r="CP119" s="304"/>
      <c r="CQ119" s="304"/>
      <c r="CR119" s="304"/>
      <c r="CS119" s="304"/>
      <c r="CT119" s="304"/>
      <c r="CU119" s="304"/>
      <c r="CV119" s="304"/>
      <c r="CW119" s="304"/>
      <c r="CX119" s="304"/>
      <c r="CY119" s="304"/>
      <c r="CZ119" s="304"/>
      <c r="DA119" s="304"/>
      <c r="DB119" s="304"/>
      <c r="DC119" s="304"/>
      <c r="DD119" s="304"/>
      <c r="DE119" s="304"/>
      <c r="DF119" s="304"/>
      <c r="DG119" s="304"/>
      <c r="DH119" s="304"/>
      <c r="DI119" s="304"/>
      <c r="DJ119" s="304"/>
      <c r="DK119" s="304"/>
      <c r="DL119" s="304"/>
      <c r="DM119" s="304"/>
      <c r="DN119" s="304"/>
      <c r="DO119" s="304"/>
      <c r="DP119" s="304"/>
      <c r="DQ119" s="304"/>
      <c r="DR119" s="304"/>
      <c r="DS119" s="304"/>
      <c r="DT119" s="304"/>
      <c r="DU119" s="304"/>
      <c r="DV119" s="304"/>
      <c r="DW119" s="304"/>
      <c r="DX119" s="304"/>
      <c r="DY119" s="304"/>
      <c r="DZ119" s="304"/>
      <c r="EA119" s="304"/>
      <c r="EB119" s="304"/>
      <c r="EC119" s="304"/>
      <c r="ED119" s="304"/>
      <c r="EE119" s="304"/>
      <c r="EF119" s="304"/>
      <c r="EG119" s="304"/>
      <c r="EH119" s="304"/>
      <c r="EI119" s="304"/>
      <c r="EJ119" s="304"/>
      <c r="EK119" s="304"/>
      <c r="EL119" s="304"/>
      <c r="EM119" s="304"/>
      <c r="EN119" s="304"/>
      <c r="EO119" s="304"/>
      <c r="EP119" s="304"/>
      <c r="EQ119" s="304"/>
      <c r="ER119" s="304"/>
      <c r="ES119" s="304"/>
      <c r="ET119" s="304"/>
      <c r="EU119" s="304"/>
      <c r="EV119" s="304"/>
      <c r="EW119" s="304"/>
      <c r="EX119" s="304"/>
      <c r="EY119" s="304"/>
      <c r="EZ119" s="304"/>
      <c r="FA119" s="304"/>
      <c r="FB119" s="304"/>
      <c r="FC119" s="304"/>
      <c r="FD119" s="304"/>
      <c r="FE119" s="304"/>
      <c r="FF119" s="304"/>
      <c r="FG119" s="304"/>
      <c r="FH119" s="304"/>
      <c r="FI119" s="304"/>
      <c r="FJ119" s="304"/>
      <c r="FK119" s="304"/>
      <c r="FL119" s="304"/>
      <c r="FM119" s="304"/>
      <c r="FN119" s="304"/>
      <c r="FO119" s="304"/>
      <c r="FP119" s="304"/>
      <c r="FQ119" s="304"/>
      <c r="FR119" s="304"/>
      <c r="FS119" s="304"/>
      <c r="FT119" s="304"/>
      <c r="FU119" s="304"/>
      <c r="FV119" s="304"/>
      <c r="FW119" s="304"/>
      <c r="FX119" s="304"/>
      <c r="FY119" s="304"/>
      <c r="FZ119" s="304"/>
      <c r="GA119" s="304"/>
      <c r="GB119" s="304"/>
      <c r="GC119" s="304"/>
      <c r="GD119" s="304"/>
      <c r="GE119" s="304"/>
      <c r="GF119" s="304"/>
      <c r="GG119" s="304"/>
      <c r="GH119" s="304"/>
      <c r="GI119" s="304"/>
      <c r="GJ119" s="304"/>
      <c r="GK119" s="304"/>
      <c r="GL119" s="304"/>
      <c r="GM119" s="304"/>
      <c r="GN119" s="304"/>
      <c r="GO119" s="304"/>
      <c r="GP119" s="304"/>
      <c r="GQ119" s="304"/>
      <c r="GR119" s="304"/>
      <c r="GS119" s="304"/>
      <c r="GT119" s="304"/>
      <c r="GU119" s="304"/>
      <c r="GV119" s="304"/>
      <c r="GW119" s="304"/>
      <c r="GX119" s="304"/>
      <c r="GY119" s="304"/>
      <c r="GZ119" s="304"/>
      <c r="HA119" s="304"/>
      <c r="HB119" s="304"/>
      <c r="HC119" s="304"/>
      <c r="HD119" s="304"/>
      <c r="HE119" s="304"/>
      <c r="HF119" s="304"/>
      <c r="HG119" s="304"/>
      <c r="HH119" s="304"/>
      <c r="HI119" s="304"/>
      <c r="HJ119" s="304"/>
      <c r="HK119" s="304"/>
      <c r="HL119" s="304"/>
      <c r="HM119" s="304"/>
      <c r="HN119" s="304"/>
      <c r="HO119" s="304"/>
      <c r="HP119" s="304"/>
      <c r="HQ119" s="304"/>
      <c r="HR119" s="304"/>
      <c r="HS119" s="304"/>
      <c r="HT119" s="304"/>
      <c r="HU119" s="304"/>
      <c r="HV119" s="304"/>
      <c r="HW119" s="304"/>
      <c r="HX119" s="304"/>
      <c r="HY119" s="304"/>
      <c r="HZ119" s="304"/>
      <c r="IA119" s="304"/>
      <c r="IB119" s="304"/>
    </row>
    <row r="120" spans="1:236" ht="15" customHeight="1" x14ac:dyDescent="0.3">
      <c r="A120" s="277"/>
      <c r="B120" s="278"/>
      <c r="C120" s="278"/>
      <c r="D120" s="278"/>
      <c r="E120" s="278"/>
      <c r="F120" s="278"/>
      <c r="H120" s="228"/>
      <c r="N120" s="228"/>
      <c r="O120" s="25"/>
      <c r="P120" s="25"/>
      <c r="Q120" s="25"/>
      <c r="R120" s="278"/>
      <c r="T120" s="318"/>
      <c r="U120" s="304"/>
      <c r="V120" s="303"/>
      <c r="W120" s="303"/>
      <c r="X120" s="303"/>
      <c r="Y120" s="303"/>
      <c r="Z120" s="303"/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  <c r="BW120" s="303"/>
      <c r="BX120" s="303"/>
      <c r="BY120" s="303"/>
      <c r="BZ120" s="303"/>
      <c r="CA120" s="303"/>
      <c r="CB120" s="303"/>
      <c r="CC120" s="303"/>
      <c r="CD120" s="303"/>
      <c r="CE120" s="303"/>
      <c r="CF120" s="303"/>
      <c r="CG120" s="303"/>
      <c r="CH120" s="303"/>
      <c r="CI120" s="303"/>
      <c r="CJ120" s="303"/>
      <c r="CK120" s="303"/>
      <c r="CL120" s="303"/>
      <c r="CM120" s="303"/>
      <c r="CN120" s="303"/>
      <c r="CO120" s="303"/>
      <c r="CP120" s="303"/>
      <c r="CQ120" s="303"/>
      <c r="CR120" s="303"/>
      <c r="CS120" s="303"/>
      <c r="CT120" s="303"/>
      <c r="CU120" s="303"/>
      <c r="CV120" s="303"/>
      <c r="CW120" s="303"/>
      <c r="CX120" s="303"/>
      <c r="CY120" s="303"/>
      <c r="CZ120" s="303"/>
      <c r="DA120" s="303"/>
      <c r="DB120" s="303"/>
      <c r="DC120" s="303"/>
      <c r="DD120" s="303"/>
      <c r="DE120" s="303"/>
      <c r="DF120" s="303"/>
      <c r="DG120" s="303"/>
      <c r="DH120" s="303"/>
      <c r="DI120" s="303"/>
      <c r="DJ120" s="303"/>
      <c r="DK120" s="303"/>
      <c r="DL120" s="303"/>
      <c r="DM120" s="303"/>
      <c r="DN120" s="303"/>
      <c r="DO120" s="303"/>
      <c r="DP120" s="303"/>
      <c r="DQ120" s="303"/>
      <c r="DR120" s="303"/>
      <c r="DS120" s="303"/>
      <c r="DT120" s="303"/>
      <c r="DU120" s="303"/>
      <c r="DV120" s="303"/>
      <c r="DW120" s="303"/>
      <c r="DX120" s="303"/>
      <c r="DY120" s="303"/>
      <c r="DZ120" s="303"/>
      <c r="EA120" s="303"/>
      <c r="EB120" s="303"/>
      <c r="EC120" s="303"/>
      <c r="ED120" s="303"/>
      <c r="EE120" s="303"/>
      <c r="EF120" s="303"/>
      <c r="EG120" s="303"/>
      <c r="EH120" s="303"/>
      <c r="EI120" s="303"/>
      <c r="EJ120" s="303"/>
      <c r="EK120" s="303"/>
      <c r="EL120" s="303"/>
      <c r="EM120" s="303"/>
      <c r="EN120" s="303"/>
      <c r="EO120" s="303"/>
      <c r="EP120" s="303"/>
      <c r="EQ120" s="303"/>
      <c r="ER120" s="303"/>
      <c r="ES120" s="303"/>
      <c r="ET120" s="303"/>
      <c r="EU120" s="303"/>
      <c r="EV120" s="303"/>
      <c r="EW120" s="303"/>
      <c r="EX120" s="303"/>
      <c r="EY120" s="303"/>
      <c r="EZ120" s="303"/>
      <c r="FA120" s="303"/>
      <c r="FB120" s="303"/>
      <c r="FC120" s="303"/>
      <c r="FD120" s="303"/>
      <c r="FE120" s="303"/>
      <c r="FF120" s="303"/>
      <c r="FG120" s="303"/>
      <c r="FH120" s="303"/>
      <c r="FI120" s="303"/>
      <c r="FJ120" s="303"/>
      <c r="FK120" s="303"/>
      <c r="FL120" s="303"/>
      <c r="FM120" s="303"/>
      <c r="FN120" s="303"/>
      <c r="FO120" s="303"/>
      <c r="FP120" s="303"/>
      <c r="FQ120" s="303"/>
      <c r="FR120" s="303"/>
      <c r="FS120" s="303"/>
      <c r="FT120" s="303"/>
      <c r="FU120" s="303"/>
      <c r="FV120" s="303"/>
      <c r="FW120" s="303"/>
      <c r="FX120" s="303"/>
      <c r="FY120" s="303"/>
      <c r="FZ120" s="303"/>
      <c r="GA120" s="303"/>
      <c r="GB120" s="303"/>
      <c r="GC120" s="303"/>
      <c r="GD120" s="303"/>
      <c r="GE120" s="303"/>
      <c r="GF120" s="303"/>
      <c r="GG120" s="303"/>
      <c r="GH120" s="303"/>
      <c r="GI120" s="303"/>
      <c r="GJ120" s="303"/>
      <c r="GK120" s="303"/>
      <c r="GL120" s="303"/>
      <c r="GM120" s="303"/>
      <c r="GN120" s="303"/>
      <c r="GO120" s="303"/>
      <c r="GP120" s="303"/>
      <c r="GQ120" s="303"/>
      <c r="GR120" s="303"/>
      <c r="GS120" s="303"/>
      <c r="GT120" s="303"/>
      <c r="GU120" s="303"/>
      <c r="GV120" s="303"/>
      <c r="GW120" s="303"/>
      <c r="GX120" s="303"/>
      <c r="GY120" s="303"/>
      <c r="GZ120" s="303"/>
      <c r="HA120" s="303"/>
      <c r="HB120" s="303"/>
      <c r="HC120" s="303"/>
      <c r="HD120" s="303"/>
      <c r="HE120" s="303"/>
      <c r="HF120" s="303"/>
      <c r="HG120" s="303"/>
      <c r="HH120" s="303"/>
      <c r="HI120" s="303"/>
      <c r="HJ120" s="303"/>
      <c r="HK120" s="303"/>
      <c r="HL120" s="303"/>
      <c r="HM120" s="303"/>
      <c r="HN120" s="303"/>
      <c r="HO120" s="303"/>
      <c r="HP120" s="303"/>
      <c r="HQ120" s="303"/>
      <c r="HR120" s="303"/>
      <c r="HS120" s="303"/>
      <c r="HT120" s="303"/>
      <c r="HU120" s="303"/>
      <c r="HV120" s="303"/>
      <c r="HW120" s="303"/>
      <c r="HX120" s="303"/>
      <c r="HY120" s="303"/>
      <c r="HZ120" s="303"/>
      <c r="IA120" s="303"/>
      <c r="IB120" s="303"/>
    </row>
    <row r="121" spans="1:236" ht="15" customHeight="1" x14ac:dyDescent="0.3">
      <c r="A121" s="277"/>
      <c r="B121" s="278"/>
      <c r="C121" s="278"/>
      <c r="D121" s="278"/>
      <c r="E121" s="278"/>
      <c r="F121" s="278"/>
      <c r="H121" s="228"/>
      <c r="N121" s="228"/>
      <c r="O121" s="25"/>
      <c r="P121" s="25"/>
      <c r="Q121" s="25"/>
      <c r="R121" s="278"/>
      <c r="T121" s="318"/>
      <c r="U121" s="304"/>
      <c r="V121" s="304"/>
      <c r="W121" s="304"/>
      <c r="X121" s="304"/>
      <c r="Y121" s="304"/>
      <c r="Z121" s="304"/>
      <c r="AA121" s="304"/>
      <c r="AB121" s="304"/>
      <c r="AC121" s="304"/>
      <c r="AD121" s="304"/>
      <c r="AE121" s="304"/>
      <c r="AF121" s="304"/>
      <c r="AG121" s="304"/>
      <c r="AH121" s="304"/>
      <c r="AI121" s="304"/>
      <c r="AJ121" s="304"/>
      <c r="AK121" s="304"/>
      <c r="AL121" s="304"/>
      <c r="AM121" s="304"/>
      <c r="AN121" s="304"/>
      <c r="AO121" s="304"/>
      <c r="AP121" s="304"/>
      <c r="AQ121" s="304"/>
      <c r="AR121" s="304"/>
      <c r="AS121" s="304"/>
      <c r="AT121" s="304"/>
      <c r="AU121" s="304"/>
      <c r="AV121" s="304"/>
      <c r="AW121" s="304"/>
      <c r="AX121" s="304"/>
      <c r="AY121" s="304"/>
      <c r="AZ121" s="304"/>
      <c r="BA121" s="304"/>
      <c r="BB121" s="304"/>
      <c r="BC121" s="304"/>
      <c r="BD121" s="304"/>
      <c r="BE121" s="304"/>
      <c r="BF121" s="304"/>
      <c r="BG121" s="304"/>
      <c r="BH121" s="304"/>
      <c r="BI121" s="304"/>
      <c r="BJ121" s="304"/>
      <c r="BK121" s="304"/>
      <c r="BL121" s="304"/>
      <c r="BM121" s="304"/>
      <c r="BN121" s="304"/>
      <c r="BO121" s="304"/>
      <c r="BP121" s="304"/>
      <c r="BQ121" s="304"/>
      <c r="BR121" s="304"/>
      <c r="BS121" s="304"/>
      <c r="BT121" s="304"/>
      <c r="BU121" s="304"/>
      <c r="BV121" s="304"/>
      <c r="BW121" s="304"/>
      <c r="BX121" s="304"/>
      <c r="BY121" s="304"/>
      <c r="BZ121" s="304"/>
      <c r="CA121" s="304"/>
      <c r="CB121" s="304"/>
      <c r="CC121" s="304"/>
      <c r="CD121" s="304"/>
      <c r="CE121" s="304"/>
      <c r="CF121" s="304"/>
      <c r="CG121" s="304"/>
      <c r="CH121" s="304"/>
      <c r="CI121" s="304"/>
      <c r="CJ121" s="304"/>
      <c r="CK121" s="304"/>
      <c r="CL121" s="304"/>
      <c r="CM121" s="304"/>
      <c r="CN121" s="304"/>
      <c r="CO121" s="304"/>
      <c r="CP121" s="304"/>
      <c r="CQ121" s="304"/>
      <c r="CR121" s="304"/>
      <c r="CS121" s="304"/>
      <c r="CT121" s="304"/>
      <c r="CU121" s="304"/>
      <c r="CV121" s="304"/>
      <c r="CW121" s="304"/>
      <c r="CX121" s="304"/>
      <c r="CY121" s="304"/>
      <c r="CZ121" s="304"/>
      <c r="DA121" s="304"/>
      <c r="DB121" s="304"/>
      <c r="DC121" s="304"/>
      <c r="DD121" s="304"/>
      <c r="DE121" s="304"/>
      <c r="DF121" s="304"/>
      <c r="DG121" s="304"/>
      <c r="DH121" s="304"/>
      <c r="DI121" s="304"/>
      <c r="DJ121" s="304"/>
      <c r="DK121" s="304"/>
      <c r="DL121" s="304"/>
      <c r="DM121" s="304"/>
      <c r="DN121" s="304"/>
      <c r="DO121" s="304"/>
      <c r="DP121" s="304"/>
      <c r="DQ121" s="304"/>
      <c r="DR121" s="304"/>
      <c r="DS121" s="304"/>
      <c r="DT121" s="304"/>
      <c r="DU121" s="304"/>
      <c r="DV121" s="304"/>
      <c r="DW121" s="304"/>
      <c r="DX121" s="304"/>
      <c r="DY121" s="304"/>
      <c r="DZ121" s="304"/>
      <c r="EA121" s="304"/>
      <c r="EB121" s="304"/>
      <c r="EC121" s="304"/>
      <c r="ED121" s="304"/>
      <c r="EE121" s="304"/>
      <c r="EF121" s="304"/>
      <c r="EG121" s="304"/>
      <c r="EH121" s="304"/>
      <c r="EI121" s="304"/>
      <c r="EJ121" s="304"/>
      <c r="EK121" s="304"/>
      <c r="EL121" s="304"/>
      <c r="EM121" s="304"/>
      <c r="EN121" s="304"/>
      <c r="EO121" s="304"/>
      <c r="EP121" s="304"/>
      <c r="EQ121" s="304"/>
      <c r="ER121" s="304"/>
      <c r="ES121" s="304"/>
      <c r="ET121" s="304"/>
      <c r="EU121" s="304"/>
      <c r="EV121" s="304"/>
      <c r="EW121" s="304"/>
      <c r="EX121" s="304"/>
      <c r="EY121" s="304"/>
      <c r="EZ121" s="304"/>
      <c r="FA121" s="304"/>
      <c r="FB121" s="304"/>
      <c r="FC121" s="304"/>
      <c r="FD121" s="304"/>
      <c r="FE121" s="304"/>
      <c r="FF121" s="304"/>
      <c r="FG121" s="304"/>
      <c r="FH121" s="304"/>
      <c r="FI121" s="304"/>
      <c r="FJ121" s="304"/>
      <c r="FK121" s="304"/>
      <c r="FL121" s="304"/>
      <c r="FM121" s="304"/>
      <c r="FN121" s="304"/>
      <c r="FO121" s="304"/>
      <c r="FP121" s="304"/>
      <c r="FQ121" s="304"/>
      <c r="FR121" s="304"/>
      <c r="FS121" s="304"/>
      <c r="FT121" s="304"/>
      <c r="FU121" s="304"/>
      <c r="FV121" s="304"/>
      <c r="FW121" s="304"/>
      <c r="FX121" s="304"/>
      <c r="FY121" s="304"/>
      <c r="FZ121" s="304"/>
      <c r="GA121" s="304"/>
      <c r="GB121" s="304"/>
      <c r="GC121" s="304"/>
      <c r="GD121" s="304"/>
      <c r="GE121" s="304"/>
      <c r="GF121" s="304"/>
      <c r="GG121" s="304"/>
      <c r="GH121" s="304"/>
      <c r="GI121" s="304"/>
      <c r="GJ121" s="304"/>
      <c r="GK121" s="304"/>
      <c r="GL121" s="304"/>
      <c r="GM121" s="304"/>
      <c r="GN121" s="304"/>
      <c r="GO121" s="304"/>
      <c r="GP121" s="304"/>
      <c r="GQ121" s="304"/>
      <c r="GR121" s="304"/>
      <c r="GS121" s="304"/>
      <c r="GT121" s="304"/>
      <c r="GU121" s="304"/>
      <c r="GV121" s="304"/>
      <c r="GW121" s="304"/>
      <c r="GX121" s="304"/>
      <c r="GY121" s="304"/>
      <c r="GZ121" s="304"/>
      <c r="HA121" s="304"/>
      <c r="HB121" s="304"/>
      <c r="HC121" s="304"/>
      <c r="HD121" s="304"/>
      <c r="HE121" s="304"/>
      <c r="HF121" s="304"/>
      <c r="HG121" s="304"/>
      <c r="HH121" s="304"/>
      <c r="HI121" s="304"/>
      <c r="HJ121" s="304"/>
      <c r="HK121" s="304"/>
      <c r="HL121" s="304"/>
      <c r="HM121" s="304"/>
      <c r="HN121" s="304"/>
      <c r="HO121" s="304"/>
      <c r="HP121" s="304"/>
      <c r="HQ121" s="304"/>
      <c r="HR121" s="304"/>
      <c r="HS121" s="304"/>
      <c r="HT121" s="304"/>
      <c r="HU121" s="304"/>
      <c r="HV121" s="304"/>
      <c r="HW121" s="304"/>
      <c r="HX121" s="304"/>
      <c r="HY121" s="304"/>
      <c r="HZ121" s="304"/>
      <c r="IA121" s="304"/>
      <c r="IB121" s="304"/>
    </row>
    <row r="122" spans="1:236" ht="15" customHeight="1" x14ac:dyDescent="0.3">
      <c r="A122" s="277"/>
      <c r="B122" s="278"/>
      <c r="C122" s="278"/>
      <c r="D122" s="278"/>
      <c r="E122" s="278"/>
      <c r="F122" s="278"/>
      <c r="G122" s="278"/>
      <c r="H122" s="228"/>
      <c r="N122" s="228"/>
      <c r="O122" s="25"/>
      <c r="P122" s="25"/>
      <c r="Q122" s="25"/>
      <c r="R122" s="278"/>
      <c r="T122" s="303"/>
      <c r="U122" s="303"/>
      <c r="V122" s="303"/>
      <c r="W122" s="303"/>
      <c r="X122" s="303"/>
      <c r="Y122" s="303"/>
      <c r="Z122" s="303"/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  <c r="BW122" s="303"/>
      <c r="BX122" s="303"/>
      <c r="BY122" s="303"/>
      <c r="BZ122" s="303"/>
      <c r="CA122" s="303"/>
      <c r="CB122" s="303"/>
      <c r="CC122" s="303"/>
      <c r="CD122" s="303"/>
      <c r="CE122" s="303"/>
      <c r="CF122" s="303"/>
      <c r="CG122" s="303"/>
      <c r="CH122" s="303"/>
      <c r="CI122" s="303"/>
      <c r="CJ122" s="303"/>
      <c r="CK122" s="303"/>
      <c r="CL122" s="303"/>
      <c r="CM122" s="303"/>
      <c r="CN122" s="303"/>
      <c r="CO122" s="303"/>
      <c r="CP122" s="303"/>
      <c r="CQ122" s="303"/>
      <c r="CR122" s="303"/>
      <c r="CS122" s="303"/>
      <c r="CT122" s="303"/>
      <c r="CU122" s="303"/>
      <c r="CV122" s="303"/>
      <c r="CW122" s="303"/>
      <c r="CX122" s="303"/>
      <c r="CY122" s="303"/>
      <c r="CZ122" s="303"/>
      <c r="DA122" s="303"/>
      <c r="DB122" s="303"/>
      <c r="DC122" s="303"/>
      <c r="DD122" s="303"/>
      <c r="DE122" s="303"/>
      <c r="DF122" s="303"/>
      <c r="DG122" s="303"/>
      <c r="DH122" s="303"/>
      <c r="DI122" s="303"/>
      <c r="DJ122" s="303"/>
      <c r="DK122" s="303"/>
      <c r="DL122" s="303"/>
      <c r="DM122" s="303"/>
      <c r="DN122" s="303"/>
      <c r="DO122" s="303"/>
      <c r="DP122" s="303"/>
      <c r="DQ122" s="303"/>
      <c r="DR122" s="303"/>
      <c r="DS122" s="303"/>
      <c r="DT122" s="303"/>
      <c r="DU122" s="303"/>
      <c r="DV122" s="303"/>
      <c r="DW122" s="303"/>
      <c r="DX122" s="303"/>
      <c r="DY122" s="303"/>
      <c r="DZ122" s="303"/>
      <c r="EA122" s="303"/>
      <c r="EB122" s="303"/>
      <c r="EC122" s="303"/>
      <c r="ED122" s="303"/>
      <c r="EE122" s="303"/>
      <c r="EF122" s="303"/>
      <c r="EG122" s="303"/>
      <c r="EH122" s="303"/>
      <c r="EI122" s="303"/>
      <c r="EJ122" s="303"/>
      <c r="EK122" s="303"/>
      <c r="EL122" s="303"/>
      <c r="EM122" s="303"/>
      <c r="EN122" s="303"/>
      <c r="EO122" s="303"/>
      <c r="EP122" s="303"/>
      <c r="EQ122" s="303"/>
      <c r="ER122" s="303"/>
      <c r="ES122" s="303"/>
      <c r="ET122" s="303"/>
      <c r="EU122" s="303"/>
      <c r="EV122" s="303"/>
      <c r="EW122" s="303"/>
      <c r="EX122" s="303"/>
      <c r="EY122" s="303"/>
      <c r="EZ122" s="303"/>
      <c r="FA122" s="303"/>
      <c r="FB122" s="303"/>
      <c r="FC122" s="303"/>
      <c r="FD122" s="303"/>
      <c r="FE122" s="303"/>
      <c r="FF122" s="303"/>
      <c r="FG122" s="303"/>
      <c r="FH122" s="303"/>
      <c r="FI122" s="303"/>
      <c r="FJ122" s="303"/>
      <c r="FK122" s="303"/>
      <c r="FL122" s="303"/>
      <c r="FM122" s="303"/>
      <c r="FN122" s="303"/>
      <c r="FO122" s="303"/>
      <c r="FP122" s="303"/>
      <c r="FQ122" s="303"/>
      <c r="FR122" s="303"/>
      <c r="FS122" s="303"/>
      <c r="FT122" s="303"/>
      <c r="FU122" s="303"/>
      <c r="FV122" s="303"/>
      <c r="FW122" s="303"/>
      <c r="FX122" s="303"/>
      <c r="FY122" s="303"/>
      <c r="FZ122" s="303"/>
      <c r="GA122" s="303"/>
      <c r="GB122" s="303"/>
      <c r="GC122" s="303"/>
      <c r="GD122" s="303"/>
      <c r="GE122" s="303"/>
      <c r="GF122" s="303"/>
      <c r="GG122" s="303"/>
      <c r="GH122" s="303"/>
      <c r="GI122" s="303"/>
      <c r="GJ122" s="303"/>
      <c r="GK122" s="303"/>
      <c r="GL122" s="303"/>
      <c r="GM122" s="303"/>
      <c r="GN122" s="303"/>
      <c r="GO122" s="303"/>
      <c r="GP122" s="303"/>
      <c r="GQ122" s="303"/>
      <c r="GR122" s="303"/>
      <c r="GS122" s="303"/>
      <c r="GT122" s="303"/>
      <c r="GU122" s="303"/>
      <c r="GV122" s="303"/>
      <c r="GW122" s="303"/>
      <c r="GX122" s="303"/>
      <c r="GY122" s="303"/>
      <c r="GZ122" s="303"/>
      <c r="HA122" s="303"/>
      <c r="HB122" s="303"/>
      <c r="HC122" s="303"/>
      <c r="HD122" s="303"/>
      <c r="HE122" s="303"/>
      <c r="HF122" s="303"/>
      <c r="HG122" s="303"/>
      <c r="HH122" s="303"/>
      <c r="HI122" s="303"/>
      <c r="HJ122" s="303"/>
      <c r="HK122" s="303"/>
      <c r="HL122" s="303"/>
      <c r="HM122" s="303"/>
      <c r="HN122" s="303"/>
      <c r="HO122" s="303"/>
      <c r="HP122" s="303"/>
      <c r="HQ122" s="303"/>
      <c r="HR122" s="303"/>
      <c r="HS122" s="303"/>
      <c r="HT122" s="303"/>
      <c r="HU122" s="303"/>
      <c r="HV122" s="303"/>
      <c r="HW122" s="303"/>
      <c r="HX122" s="303"/>
      <c r="HY122" s="303"/>
      <c r="HZ122" s="303"/>
      <c r="IA122" s="303"/>
      <c r="IB122" s="303"/>
    </row>
    <row r="123" spans="1:236" ht="15" customHeight="1" x14ac:dyDescent="0.3">
      <c r="A123" s="277"/>
      <c r="B123" s="278"/>
      <c r="C123" s="278"/>
      <c r="D123" s="278"/>
      <c r="E123" s="278"/>
      <c r="F123" s="278"/>
      <c r="G123" s="278"/>
      <c r="H123" s="228"/>
      <c r="N123" s="228"/>
      <c r="O123" s="25"/>
      <c r="P123" s="25"/>
      <c r="Q123" s="319"/>
      <c r="R123" s="278"/>
      <c r="S123" s="278"/>
      <c r="T123" s="303"/>
      <c r="U123" s="303"/>
      <c r="V123" s="307"/>
      <c r="W123" s="307"/>
      <c r="X123" s="307"/>
      <c r="Y123" s="307"/>
      <c r="Z123" s="307"/>
      <c r="AA123" s="307"/>
      <c r="AB123" s="307"/>
      <c r="AC123" s="307"/>
      <c r="AD123" s="307"/>
      <c r="AE123" s="307"/>
      <c r="AF123" s="307"/>
      <c r="AG123" s="307"/>
      <c r="AH123" s="307"/>
      <c r="AI123" s="307"/>
      <c r="AJ123" s="307"/>
      <c r="AK123" s="307"/>
      <c r="AL123" s="307"/>
      <c r="AM123" s="307"/>
      <c r="AN123" s="307"/>
      <c r="AO123" s="307"/>
      <c r="AP123" s="307"/>
      <c r="AQ123" s="307"/>
      <c r="AR123" s="307"/>
      <c r="AS123" s="307"/>
      <c r="AT123" s="307"/>
      <c r="AU123" s="307"/>
      <c r="AV123" s="307"/>
      <c r="AW123" s="307"/>
      <c r="AX123" s="307"/>
      <c r="AY123" s="307"/>
      <c r="AZ123" s="307"/>
      <c r="BA123" s="307"/>
      <c r="BB123" s="307"/>
      <c r="BC123" s="307"/>
      <c r="BD123" s="307"/>
      <c r="BE123" s="307"/>
      <c r="BF123" s="307"/>
      <c r="BG123" s="307"/>
      <c r="BH123" s="307"/>
      <c r="BI123" s="307"/>
      <c r="BJ123" s="307"/>
      <c r="BK123" s="307"/>
      <c r="BL123" s="307"/>
      <c r="BM123" s="307"/>
      <c r="BN123" s="307"/>
      <c r="BO123" s="307"/>
      <c r="BP123" s="307"/>
      <c r="BQ123" s="307"/>
      <c r="BR123" s="307"/>
      <c r="BS123" s="307"/>
      <c r="BT123" s="307"/>
      <c r="BU123" s="307"/>
      <c r="BV123" s="307"/>
      <c r="BW123" s="307"/>
      <c r="BX123" s="307"/>
      <c r="BY123" s="307"/>
      <c r="BZ123" s="307"/>
      <c r="CA123" s="307"/>
      <c r="CB123" s="307"/>
      <c r="CC123" s="307"/>
      <c r="CD123" s="307"/>
      <c r="CE123" s="307"/>
      <c r="CF123" s="307"/>
      <c r="CG123" s="307"/>
      <c r="CH123" s="307"/>
      <c r="CI123" s="307"/>
      <c r="CJ123" s="307"/>
      <c r="CK123" s="307"/>
      <c r="CL123" s="307"/>
      <c r="CM123" s="307"/>
      <c r="CN123" s="307"/>
      <c r="CO123" s="307"/>
      <c r="CP123" s="307"/>
      <c r="CQ123" s="307"/>
      <c r="CR123" s="307"/>
      <c r="CS123" s="307"/>
      <c r="CT123" s="307"/>
      <c r="CU123" s="307"/>
      <c r="CV123" s="307"/>
      <c r="CW123" s="307"/>
      <c r="CX123" s="307"/>
      <c r="CY123" s="307"/>
      <c r="CZ123" s="307"/>
      <c r="DA123" s="307"/>
      <c r="DB123" s="307"/>
      <c r="DC123" s="307"/>
      <c r="DD123" s="307"/>
      <c r="DE123" s="307"/>
      <c r="DF123" s="307"/>
      <c r="DG123" s="307"/>
      <c r="DH123" s="307"/>
      <c r="DI123" s="307"/>
      <c r="DJ123" s="307"/>
      <c r="DK123" s="307"/>
      <c r="DL123" s="307"/>
      <c r="DM123" s="307"/>
      <c r="DN123" s="307"/>
      <c r="DO123" s="307"/>
      <c r="DP123" s="307"/>
      <c r="DQ123" s="307"/>
      <c r="DR123" s="307"/>
      <c r="DS123" s="307"/>
      <c r="DT123" s="307"/>
      <c r="DU123" s="307"/>
      <c r="DV123" s="307"/>
      <c r="DW123" s="307"/>
      <c r="DX123" s="307"/>
      <c r="DY123" s="307"/>
      <c r="DZ123" s="307"/>
      <c r="EA123" s="307"/>
      <c r="EB123" s="307"/>
      <c r="EC123" s="307"/>
      <c r="ED123" s="307"/>
      <c r="EE123" s="307"/>
      <c r="EF123" s="307"/>
      <c r="EG123" s="307"/>
      <c r="EH123" s="307"/>
      <c r="EI123" s="307"/>
      <c r="EJ123" s="307"/>
      <c r="EK123" s="307"/>
      <c r="EL123" s="307"/>
      <c r="EM123" s="307"/>
      <c r="EN123" s="307"/>
      <c r="EO123" s="307"/>
      <c r="EP123" s="307"/>
      <c r="EQ123" s="307"/>
      <c r="ER123" s="307"/>
      <c r="ES123" s="307"/>
      <c r="ET123" s="307"/>
      <c r="EU123" s="307"/>
      <c r="EV123" s="307"/>
      <c r="EW123" s="307"/>
      <c r="EX123" s="307"/>
      <c r="EY123" s="307"/>
      <c r="EZ123" s="307"/>
      <c r="FA123" s="307"/>
      <c r="FB123" s="307"/>
      <c r="FC123" s="307"/>
      <c r="FD123" s="307"/>
      <c r="FE123" s="307"/>
      <c r="FF123" s="307"/>
      <c r="FG123" s="307"/>
      <c r="FH123" s="307"/>
      <c r="FI123" s="307"/>
      <c r="FJ123" s="307"/>
      <c r="FK123" s="307"/>
      <c r="FL123" s="307"/>
      <c r="FM123" s="307"/>
      <c r="FN123" s="307"/>
      <c r="FO123" s="307"/>
      <c r="FP123" s="307"/>
      <c r="FQ123" s="307"/>
      <c r="FR123" s="307"/>
      <c r="FS123" s="307"/>
      <c r="FT123" s="307"/>
      <c r="FU123" s="307"/>
      <c r="FV123" s="307"/>
      <c r="FW123" s="307"/>
      <c r="FX123" s="307"/>
      <c r="FY123" s="307"/>
      <c r="FZ123" s="307"/>
      <c r="GA123" s="307"/>
      <c r="GB123" s="307"/>
      <c r="GC123" s="307"/>
      <c r="GD123" s="307"/>
      <c r="GE123" s="307"/>
      <c r="GF123" s="307"/>
      <c r="GG123" s="307"/>
      <c r="GH123" s="307"/>
      <c r="GI123" s="307"/>
      <c r="GJ123" s="307"/>
      <c r="GK123" s="307"/>
      <c r="GL123" s="307"/>
      <c r="GM123" s="307"/>
      <c r="GN123" s="307"/>
      <c r="GO123" s="307"/>
      <c r="GP123" s="307"/>
      <c r="GQ123" s="307"/>
      <c r="GR123" s="307"/>
      <c r="GS123" s="307"/>
      <c r="GT123" s="307"/>
      <c r="GU123" s="307"/>
      <c r="GV123" s="307"/>
      <c r="GW123" s="307"/>
      <c r="GX123" s="307"/>
      <c r="GY123" s="307"/>
      <c r="GZ123" s="307"/>
      <c r="HA123" s="307"/>
      <c r="HB123" s="307"/>
      <c r="HC123" s="307"/>
      <c r="HD123" s="307"/>
      <c r="HE123" s="307"/>
      <c r="HF123" s="307"/>
      <c r="HG123" s="307"/>
      <c r="HH123" s="307"/>
      <c r="HI123" s="307"/>
      <c r="HJ123" s="307"/>
      <c r="HK123" s="307"/>
      <c r="HL123" s="307"/>
      <c r="HM123" s="307"/>
      <c r="HN123" s="307"/>
      <c r="HO123" s="307"/>
      <c r="HP123" s="307"/>
      <c r="HQ123" s="307"/>
      <c r="HR123" s="307"/>
      <c r="HS123" s="307"/>
      <c r="HT123" s="307"/>
      <c r="HU123" s="307"/>
      <c r="HV123" s="307"/>
      <c r="HW123" s="307"/>
      <c r="HX123" s="307"/>
      <c r="HY123" s="307"/>
      <c r="HZ123" s="307"/>
      <c r="IA123" s="307"/>
      <c r="IB123" s="307"/>
    </row>
    <row r="124" spans="1:236" ht="18.75" x14ac:dyDescent="0.3">
      <c r="A124" s="277"/>
      <c r="B124" s="278"/>
      <c r="C124" s="278"/>
      <c r="D124" s="278"/>
      <c r="E124" s="278"/>
      <c r="F124" s="278"/>
      <c r="G124" s="278"/>
      <c r="H124" s="228"/>
      <c r="N124" s="228"/>
      <c r="O124" s="25"/>
      <c r="P124" s="25"/>
      <c r="Q124" s="25"/>
      <c r="R124" s="278"/>
      <c r="T124" s="303"/>
      <c r="U124" s="303"/>
      <c r="V124" s="307"/>
      <c r="W124" s="307"/>
      <c r="X124" s="307"/>
      <c r="Y124" s="307"/>
      <c r="Z124" s="307"/>
      <c r="AA124" s="307"/>
      <c r="AB124" s="307"/>
      <c r="AC124" s="307"/>
      <c r="AD124" s="307"/>
      <c r="AE124" s="307"/>
      <c r="AF124" s="307"/>
      <c r="AG124" s="307"/>
      <c r="AH124" s="307"/>
      <c r="AI124" s="307"/>
      <c r="AJ124" s="307"/>
      <c r="AK124" s="307"/>
      <c r="AL124" s="307"/>
      <c r="AM124" s="307"/>
      <c r="AN124" s="307"/>
      <c r="AO124" s="307"/>
      <c r="AP124" s="307"/>
      <c r="AQ124" s="307"/>
      <c r="AR124" s="307"/>
      <c r="AS124" s="307"/>
      <c r="AT124" s="307"/>
      <c r="AU124" s="307"/>
      <c r="AV124" s="307"/>
      <c r="AW124" s="307"/>
      <c r="AX124" s="307"/>
      <c r="AY124" s="307"/>
      <c r="AZ124" s="307"/>
      <c r="BA124" s="307"/>
      <c r="BB124" s="307"/>
      <c r="BC124" s="307"/>
      <c r="BD124" s="307"/>
      <c r="BE124" s="307"/>
      <c r="BF124" s="307"/>
      <c r="BG124" s="307"/>
      <c r="BH124" s="307"/>
      <c r="BI124" s="307"/>
      <c r="BJ124" s="307"/>
      <c r="BK124" s="307"/>
      <c r="BL124" s="307"/>
      <c r="BM124" s="307"/>
      <c r="BN124" s="307"/>
      <c r="BO124" s="307"/>
      <c r="BP124" s="307"/>
      <c r="BQ124" s="307"/>
      <c r="BR124" s="307"/>
      <c r="BS124" s="307"/>
      <c r="BT124" s="307"/>
      <c r="BU124" s="307"/>
      <c r="BV124" s="307"/>
      <c r="BW124" s="307"/>
      <c r="BX124" s="307"/>
      <c r="BY124" s="307"/>
      <c r="BZ124" s="307"/>
      <c r="CA124" s="307"/>
      <c r="CB124" s="307"/>
      <c r="CC124" s="307"/>
      <c r="CD124" s="307"/>
      <c r="CE124" s="307"/>
      <c r="CF124" s="307"/>
      <c r="CG124" s="307"/>
      <c r="CH124" s="307"/>
      <c r="CI124" s="307"/>
      <c r="CJ124" s="307"/>
      <c r="CK124" s="307"/>
      <c r="CL124" s="307"/>
      <c r="CM124" s="307"/>
      <c r="CN124" s="307"/>
      <c r="CO124" s="307"/>
      <c r="CP124" s="307"/>
      <c r="CQ124" s="307"/>
      <c r="CR124" s="307"/>
      <c r="CS124" s="307"/>
      <c r="CT124" s="307"/>
      <c r="CU124" s="307"/>
      <c r="CV124" s="307"/>
      <c r="CW124" s="307"/>
      <c r="CX124" s="307"/>
      <c r="CY124" s="307"/>
      <c r="CZ124" s="307"/>
      <c r="DA124" s="307"/>
      <c r="DB124" s="307"/>
      <c r="DC124" s="307"/>
      <c r="DD124" s="307"/>
      <c r="DE124" s="307"/>
      <c r="DF124" s="307"/>
      <c r="DG124" s="307"/>
      <c r="DH124" s="307"/>
      <c r="DI124" s="307"/>
      <c r="DJ124" s="307"/>
      <c r="DK124" s="307"/>
      <c r="DL124" s="307"/>
      <c r="DM124" s="307"/>
      <c r="DN124" s="307"/>
      <c r="DO124" s="307"/>
      <c r="DP124" s="307"/>
      <c r="DQ124" s="307"/>
      <c r="DR124" s="307"/>
      <c r="DS124" s="307"/>
      <c r="DT124" s="307"/>
      <c r="DU124" s="307"/>
      <c r="DV124" s="307"/>
      <c r="DW124" s="307"/>
      <c r="DX124" s="307"/>
      <c r="DY124" s="307"/>
      <c r="DZ124" s="307"/>
      <c r="EA124" s="307"/>
      <c r="EB124" s="307"/>
      <c r="EC124" s="307"/>
      <c r="ED124" s="307"/>
      <c r="EE124" s="307"/>
      <c r="EF124" s="307"/>
      <c r="EG124" s="307"/>
      <c r="EH124" s="307"/>
      <c r="EI124" s="307"/>
      <c r="EJ124" s="307"/>
      <c r="EK124" s="307"/>
      <c r="EL124" s="307"/>
      <c r="EM124" s="307"/>
      <c r="EN124" s="307"/>
      <c r="EO124" s="307"/>
      <c r="EP124" s="307"/>
      <c r="EQ124" s="307"/>
      <c r="ER124" s="307"/>
      <c r="ES124" s="307"/>
      <c r="ET124" s="307"/>
      <c r="EU124" s="307"/>
      <c r="EV124" s="307"/>
      <c r="EW124" s="307"/>
      <c r="EX124" s="307"/>
      <c r="EY124" s="307"/>
      <c r="EZ124" s="307"/>
      <c r="FA124" s="307"/>
      <c r="FB124" s="307"/>
      <c r="FC124" s="307"/>
      <c r="FD124" s="307"/>
      <c r="FE124" s="307"/>
      <c r="FF124" s="307"/>
      <c r="FG124" s="307"/>
      <c r="FH124" s="307"/>
      <c r="FI124" s="307"/>
      <c r="FJ124" s="307"/>
      <c r="FK124" s="307"/>
      <c r="FL124" s="307"/>
      <c r="FM124" s="307"/>
      <c r="FN124" s="307"/>
      <c r="FO124" s="307"/>
      <c r="FP124" s="307"/>
      <c r="FQ124" s="307"/>
      <c r="FR124" s="307"/>
      <c r="FS124" s="307"/>
      <c r="FT124" s="307"/>
      <c r="FU124" s="307"/>
      <c r="FV124" s="307"/>
      <c r="FW124" s="307"/>
      <c r="FX124" s="307"/>
      <c r="FY124" s="307"/>
      <c r="FZ124" s="307"/>
      <c r="GA124" s="307"/>
      <c r="GB124" s="307"/>
      <c r="GC124" s="307"/>
      <c r="GD124" s="307"/>
      <c r="GE124" s="307"/>
      <c r="GF124" s="307"/>
      <c r="GG124" s="307"/>
      <c r="GH124" s="307"/>
      <c r="GI124" s="307"/>
      <c r="GJ124" s="307"/>
      <c r="GK124" s="307"/>
      <c r="GL124" s="307"/>
      <c r="GM124" s="307"/>
      <c r="GN124" s="307"/>
      <c r="GO124" s="307"/>
      <c r="GP124" s="307"/>
      <c r="GQ124" s="307"/>
      <c r="GR124" s="307"/>
      <c r="GS124" s="307"/>
      <c r="GT124" s="307"/>
      <c r="GU124" s="307"/>
      <c r="GV124" s="307"/>
      <c r="GW124" s="307"/>
      <c r="GX124" s="307"/>
      <c r="GY124" s="307"/>
      <c r="GZ124" s="307"/>
      <c r="HA124" s="307"/>
      <c r="HB124" s="307"/>
      <c r="HC124" s="307"/>
      <c r="HD124" s="307"/>
      <c r="HE124" s="307"/>
      <c r="HF124" s="307"/>
      <c r="HG124" s="307"/>
      <c r="HH124" s="307"/>
      <c r="HI124" s="307"/>
      <c r="HJ124" s="307"/>
      <c r="HK124" s="307"/>
      <c r="HL124" s="307"/>
      <c r="HM124" s="307"/>
      <c r="HN124" s="307"/>
      <c r="HO124" s="307"/>
      <c r="HP124" s="307"/>
      <c r="HQ124" s="307"/>
      <c r="HR124" s="307"/>
      <c r="HS124" s="307"/>
      <c r="HT124" s="307"/>
      <c r="HU124" s="307"/>
      <c r="HV124" s="307"/>
      <c r="HW124" s="307"/>
      <c r="HX124" s="307"/>
      <c r="HY124" s="307"/>
      <c r="HZ124" s="307"/>
      <c r="IA124" s="307"/>
      <c r="IB124" s="307"/>
    </row>
    <row r="125" spans="1:236" ht="18.75" x14ac:dyDescent="0.3">
      <c r="C125" s="278"/>
      <c r="D125" s="278"/>
      <c r="E125" s="278"/>
      <c r="F125" s="278"/>
      <c r="G125" s="278"/>
      <c r="H125" s="228"/>
      <c r="N125" s="228"/>
      <c r="O125" s="25"/>
      <c r="P125" s="25"/>
      <c r="Q125" s="25"/>
      <c r="T125" s="303"/>
      <c r="U125" s="303"/>
      <c r="V125" s="304"/>
      <c r="W125" s="304"/>
      <c r="X125" s="304"/>
      <c r="Y125" s="304"/>
      <c r="Z125" s="304"/>
      <c r="AA125" s="304"/>
      <c r="AB125" s="304"/>
      <c r="AC125" s="304"/>
      <c r="AD125" s="304"/>
      <c r="AE125" s="304"/>
      <c r="AF125" s="304"/>
      <c r="AG125" s="304"/>
      <c r="AH125" s="304"/>
      <c r="AI125" s="304"/>
      <c r="AJ125" s="304"/>
      <c r="AK125" s="304"/>
      <c r="AL125" s="304"/>
      <c r="AM125" s="304"/>
      <c r="AN125" s="304"/>
      <c r="AO125" s="304"/>
      <c r="AP125" s="304"/>
      <c r="AQ125" s="304"/>
      <c r="AR125" s="304"/>
      <c r="AS125" s="304"/>
      <c r="AT125" s="304"/>
      <c r="AU125" s="304"/>
      <c r="AV125" s="304"/>
      <c r="AW125" s="304"/>
      <c r="AX125" s="304"/>
      <c r="AY125" s="304"/>
      <c r="AZ125" s="304"/>
      <c r="BA125" s="304"/>
      <c r="BB125" s="304"/>
      <c r="BC125" s="304"/>
      <c r="BD125" s="304"/>
      <c r="BE125" s="304"/>
      <c r="BF125" s="304"/>
      <c r="BG125" s="304"/>
      <c r="BH125" s="304"/>
      <c r="BI125" s="304"/>
      <c r="BJ125" s="304"/>
      <c r="BK125" s="304"/>
      <c r="BL125" s="304"/>
      <c r="BM125" s="304"/>
      <c r="BN125" s="304"/>
      <c r="BO125" s="304"/>
      <c r="BP125" s="304"/>
      <c r="BQ125" s="304"/>
      <c r="BR125" s="304"/>
      <c r="BS125" s="304"/>
      <c r="BT125" s="304"/>
      <c r="BU125" s="304"/>
      <c r="BV125" s="304"/>
      <c r="BW125" s="304"/>
      <c r="BX125" s="304"/>
      <c r="BY125" s="304"/>
      <c r="BZ125" s="304"/>
      <c r="CA125" s="304"/>
      <c r="CB125" s="304"/>
      <c r="CC125" s="304"/>
      <c r="CD125" s="304"/>
      <c r="CE125" s="304"/>
      <c r="CF125" s="304"/>
      <c r="CG125" s="304"/>
      <c r="CH125" s="304"/>
      <c r="CI125" s="304"/>
      <c r="CJ125" s="304"/>
      <c r="CK125" s="304"/>
      <c r="CL125" s="304"/>
      <c r="CM125" s="304"/>
      <c r="CN125" s="304"/>
      <c r="CO125" s="304"/>
      <c r="CP125" s="304"/>
      <c r="CQ125" s="304"/>
      <c r="CR125" s="304"/>
      <c r="CS125" s="304"/>
      <c r="CT125" s="304"/>
      <c r="CU125" s="304"/>
      <c r="CV125" s="304"/>
      <c r="CW125" s="304"/>
      <c r="CX125" s="304"/>
      <c r="CY125" s="304"/>
      <c r="CZ125" s="304"/>
      <c r="DA125" s="304"/>
      <c r="DB125" s="304"/>
      <c r="DC125" s="304"/>
      <c r="DD125" s="304"/>
      <c r="DE125" s="304"/>
      <c r="DF125" s="304"/>
      <c r="DG125" s="304"/>
      <c r="DH125" s="304"/>
      <c r="DI125" s="304"/>
      <c r="DJ125" s="304"/>
      <c r="DK125" s="304"/>
      <c r="DL125" s="304"/>
      <c r="DM125" s="304"/>
      <c r="DN125" s="304"/>
      <c r="DO125" s="304"/>
      <c r="DP125" s="304"/>
      <c r="DQ125" s="304"/>
      <c r="DR125" s="304"/>
      <c r="DS125" s="304"/>
      <c r="DT125" s="304"/>
      <c r="DU125" s="304"/>
      <c r="DV125" s="304"/>
      <c r="DW125" s="304"/>
      <c r="DX125" s="304"/>
      <c r="DY125" s="304"/>
      <c r="DZ125" s="304"/>
      <c r="EA125" s="304"/>
      <c r="EB125" s="304"/>
      <c r="EC125" s="304"/>
      <c r="ED125" s="304"/>
      <c r="EE125" s="304"/>
      <c r="EF125" s="304"/>
      <c r="EG125" s="304"/>
      <c r="EH125" s="304"/>
      <c r="EI125" s="304"/>
      <c r="EJ125" s="304"/>
      <c r="EK125" s="304"/>
      <c r="EL125" s="304"/>
      <c r="EM125" s="304"/>
      <c r="EN125" s="304"/>
      <c r="EO125" s="304"/>
      <c r="EP125" s="304"/>
      <c r="EQ125" s="304"/>
      <c r="ER125" s="304"/>
      <c r="ES125" s="304"/>
      <c r="ET125" s="304"/>
      <c r="EU125" s="304"/>
      <c r="EV125" s="304"/>
      <c r="EW125" s="304"/>
      <c r="EX125" s="304"/>
      <c r="EY125" s="304"/>
      <c r="EZ125" s="304"/>
      <c r="FA125" s="304"/>
      <c r="FB125" s="304"/>
      <c r="FC125" s="304"/>
      <c r="FD125" s="304"/>
      <c r="FE125" s="304"/>
      <c r="FF125" s="304"/>
      <c r="FG125" s="304"/>
      <c r="FH125" s="304"/>
      <c r="FI125" s="304"/>
      <c r="FJ125" s="304"/>
      <c r="FK125" s="304"/>
      <c r="FL125" s="304"/>
      <c r="FM125" s="304"/>
      <c r="FN125" s="304"/>
      <c r="FO125" s="304"/>
      <c r="FP125" s="304"/>
      <c r="FQ125" s="304"/>
      <c r="FR125" s="304"/>
      <c r="FS125" s="304"/>
      <c r="FT125" s="304"/>
      <c r="FU125" s="304"/>
      <c r="FV125" s="304"/>
      <c r="FW125" s="304"/>
      <c r="FX125" s="304"/>
      <c r="FY125" s="304"/>
      <c r="FZ125" s="304"/>
      <c r="GA125" s="304"/>
      <c r="GB125" s="304"/>
      <c r="GC125" s="304"/>
      <c r="GD125" s="304"/>
      <c r="GE125" s="304"/>
      <c r="GF125" s="304"/>
      <c r="GG125" s="304"/>
      <c r="GH125" s="304"/>
      <c r="GI125" s="304"/>
      <c r="GJ125" s="304"/>
      <c r="GK125" s="304"/>
      <c r="GL125" s="304"/>
      <c r="GM125" s="304"/>
      <c r="GN125" s="304"/>
      <c r="GO125" s="304"/>
      <c r="GP125" s="304"/>
      <c r="GQ125" s="304"/>
      <c r="GR125" s="304"/>
      <c r="GS125" s="304"/>
      <c r="GT125" s="304"/>
      <c r="GU125" s="304"/>
      <c r="GV125" s="304"/>
      <c r="GW125" s="304"/>
      <c r="GX125" s="304"/>
      <c r="GY125" s="304"/>
      <c r="GZ125" s="304"/>
      <c r="HA125" s="304"/>
      <c r="HB125" s="304"/>
      <c r="HC125" s="304"/>
      <c r="HD125" s="304"/>
      <c r="HE125" s="304"/>
      <c r="HF125" s="304"/>
      <c r="HG125" s="304"/>
      <c r="HH125" s="304"/>
      <c r="HI125" s="304"/>
      <c r="HJ125" s="304"/>
      <c r="HK125" s="304"/>
      <c r="HL125" s="304"/>
      <c r="HM125" s="304"/>
      <c r="HN125" s="304"/>
      <c r="HO125" s="304"/>
      <c r="HP125" s="304"/>
      <c r="HQ125" s="304"/>
      <c r="HR125" s="304"/>
      <c r="HS125" s="304"/>
      <c r="HT125" s="304"/>
      <c r="HU125" s="304"/>
      <c r="HV125" s="304"/>
      <c r="HW125" s="304"/>
      <c r="HX125" s="304"/>
      <c r="HY125" s="304"/>
      <c r="HZ125" s="304"/>
      <c r="IA125" s="304"/>
      <c r="IB125" s="304"/>
    </row>
    <row r="126" spans="1:236" ht="18.75" x14ac:dyDescent="0.3">
      <c r="D126" s="278"/>
      <c r="E126" s="278"/>
      <c r="F126" s="278"/>
      <c r="G126" s="278"/>
      <c r="H126" s="228"/>
      <c r="N126" s="228"/>
      <c r="O126" s="25"/>
      <c r="P126" s="25"/>
      <c r="Q126" s="25"/>
      <c r="T126" s="303"/>
      <c r="U126" s="303"/>
      <c r="V126" s="304"/>
      <c r="W126" s="304"/>
      <c r="X126" s="304"/>
      <c r="Y126" s="304"/>
      <c r="Z126" s="304"/>
      <c r="AA126" s="304"/>
      <c r="AB126" s="304"/>
      <c r="AC126" s="304"/>
      <c r="AD126" s="304"/>
      <c r="AE126" s="304"/>
      <c r="AF126" s="304"/>
      <c r="AG126" s="304"/>
      <c r="AH126" s="304"/>
      <c r="AI126" s="304"/>
      <c r="AJ126" s="304"/>
      <c r="AK126" s="304"/>
      <c r="AL126" s="304"/>
      <c r="AM126" s="304"/>
      <c r="AN126" s="304"/>
      <c r="AO126" s="304"/>
      <c r="AP126" s="304"/>
      <c r="AQ126" s="304"/>
      <c r="AR126" s="304"/>
      <c r="AS126" s="304"/>
      <c r="AT126" s="304"/>
      <c r="AU126" s="304"/>
      <c r="AV126" s="304"/>
      <c r="AW126" s="304"/>
      <c r="AX126" s="304"/>
      <c r="AY126" s="304"/>
      <c r="AZ126" s="304"/>
      <c r="BA126" s="304"/>
      <c r="BB126" s="304"/>
      <c r="BC126" s="304"/>
      <c r="BD126" s="304"/>
      <c r="BE126" s="304"/>
      <c r="BF126" s="304"/>
      <c r="BG126" s="304"/>
      <c r="BH126" s="304"/>
      <c r="BI126" s="304"/>
      <c r="BJ126" s="304"/>
      <c r="BK126" s="304"/>
      <c r="BL126" s="304"/>
      <c r="BM126" s="304"/>
      <c r="BN126" s="304"/>
      <c r="BO126" s="304"/>
      <c r="BP126" s="304"/>
      <c r="BQ126" s="304"/>
      <c r="BR126" s="304"/>
      <c r="BS126" s="304"/>
      <c r="BT126" s="304"/>
      <c r="BU126" s="304"/>
      <c r="BV126" s="304"/>
      <c r="BW126" s="304"/>
      <c r="BX126" s="304"/>
      <c r="BY126" s="304"/>
      <c r="BZ126" s="304"/>
      <c r="CA126" s="304"/>
      <c r="CB126" s="304"/>
      <c r="CC126" s="304"/>
      <c r="CD126" s="304"/>
      <c r="CE126" s="304"/>
      <c r="CF126" s="304"/>
      <c r="CG126" s="304"/>
      <c r="CH126" s="304"/>
      <c r="CI126" s="304"/>
      <c r="CJ126" s="304"/>
      <c r="CK126" s="304"/>
      <c r="CL126" s="304"/>
      <c r="CM126" s="304"/>
      <c r="CN126" s="304"/>
      <c r="CO126" s="304"/>
      <c r="CP126" s="304"/>
      <c r="CQ126" s="304"/>
      <c r="CR126" s="304"/>
      <c r="CS126" s="304"/>
      <c r="CT126" s="304"/>
      <c r="CU126" s="304"/>
      <c r="CV126" s="304"/>
      <c r="CW126" s="304"/>
      <c r="CX126" s="304"/>
      <c r="CY126" s="304"/>
      <c r="CZ126" s="304"/>
      <c r="DA126" s="304"/>
      <c r="DB126" s="304"/>
      <c r="DC126" s="304"/>
      <c r="DD126" s="304"/>
      <c r="DE126" s="304"/>
      <c r="DF126" s="304"/>
      <c r="DG126" s="304"/>
      <c r="DH126" s="304"/>
      <c r="DI126" s="304"/>
      <c r="DJ126" s="304"/>
      <c r="DK126" s="304"/>
      <c r="DL126" s="304"/>
      <c r="DM126" s="304"/>
      <c r="DN126" s="304"/>
      <c r="DO126" s="304"/>
      <c r="DP126" s="304"/>
      <c r="DQ126" s="304"/>
      <c r="DR126" s="304"/>
      <c r="DS126" s="304"/>
      <c r="DT126" s="304"/>
      <c r="DU126" s="304"/>
      <c r="DV126" s="304"/>
      <c r="DW126" s="304"/>
      <c r="DX126" s="304"/>
      <c r="DY126" s="304"/>
      <c r="DZ126" s="304"/>
      <c r="EA126" s="304"/>
      <c r="EB126" s="304"/>
      <c r="EC126" s="304"/>
      <c r="ED126" s="304"/>
      <c r="EE126" s="304"/>
      <c r="EF126" s="304"/>
      <c r="EG126" s="304"/>
      <c r="EH126" s="304"/>
      <c r="EI126" s="304"/>
      <c r="EJ126" s="304"/>
      <c r="EK126" s="304"/>
      <c r="EL126" s="304"/>
      <c r="EM126" s="304"/>
      <c r="EN126" s="304"/>
      <c r="EO126" s="304"/>
      <c r="EP126" s="304"/>
      <c r="EQ126" s="304"/>
      <c r="ER126" s="304"/>
      <c r="ES126" s="304"/>
      <c r="ET126" s="304"/>
      <c r="EU126" s="304"/>
      <c r="EV126" s="304"/>
      <c r="EW126" s="304"/>
      <c r="EX126" s="304"/>
      <c r="EY126" s="304"/>
      <c r="EZ126" s="304"/>
      <c r="FA126" s="304"/>
      <c r="FB126" s="304"/>
      <c r="FC126" s="304"/>
      <c r="FD126" s="304"/>
      <c r="FE126" s="304"/>
      <c r="FF126" s="304"/>
      <c r="FG126" s="304"/>
      <c r="FH126" s="304"/>
      <c r="FI126" s="304"/>
      <c r="FJ126" s="304"/>
      <c r="FK126" s="304"/>
      <c r="FL126" s="304"/>
      <c r="FM126" s="304"/>
      <c r="FN126" s="304"/>
      <c r="FO126" s="304"/>
      <c r="FP126" s="304"/>
      <c r="FQ126" s="304"/>
      <c r="FR126" s="304"/>
      <c r="FS126" s="304"/>
      <c r="FT126" s="304"/>
      <c r="FU126" s="304"/>
      <c r="FV126" s="304"/>
      <c r="FW126" s="304"/>
      <c r="FX126" s="304"/>
      <c r="FY126" s="304"/>
      <c r="FZ126" s="304"/>
      <c r="GA126" s="304"/>
      <c r="GB126" s="304"/>
      <c r="GC126" s="304"/>
      <c r="GD126" s="304"/>
      <c r="GE126" s="304"/>
      <c r="GF126" s="304"/>
      <c r="GG126" s="304"/>
      <c r="GH126" s="304"/>
      <c r="GI126" s="304"/>
      <c r="GJ126" s="304"/>
      <c r="GK126" s="304"/>
      <c r="GL126" s="304"/>
      <c r="GM126" s="304"/>
      <c r="GN126" s="304"/>
      <c r="GO126" s="304"/>
      <c r="GP126" s="304"/>
      <c r="GQ126" s="304"/>
      <c r="GR126" s="304"/>
      <c r="GS126" s="304"/>
      <c r="GT126" s="304"/>
      <c r="GU126" s="304"/>
      <c r="GV126" s="304"/>
      <c r="GW126" s="304"/>
      <c r="GX126" s="304"/>
      <c r="GY126" s="304"/>
      <c r="GZ126" s="304"/>
      <c r="HA126" s="304"/>
      <c r="HB126" s="304"/>
      <c r="HC126" s="304"/>
      <c r="HD126" s="304"/>
      <c r="HE126" s="304"/>
      <c r="HF126" s="304"/>
      <c r="HG126" s="304"/>
      <c r="HH126" s="304"/>
      <c r="HI126" s="304"/>
      <c r="HJ126" s="304"/>
      <c r="HK126" s="304"/>
      <c r="HL126" s="304"/>
      <c r="HM126" s="304"/>
      <c r="HN126" s="304"/>
      <c r="HO126" s="304"/>
      <c r="HP126" s="304"/>
      <c r="HQ126" s="304"/>
      <c r="HR126" s="304"/>
      <c r="HS126" s="304"/>
      <c r="HT126" s="304"/>
      <c r="HU126" s="304"/>
      <c r="HV126" s="304"/>
      <c r="HW126" s="304"/>
      <c r="HX126" s="304"/>
      <c r="HY126" s="304"/>
      <c r="HZ126" s="304"/>
      <c r="IA126" s="304"/>
      <c r="IB126" s="304"/>
    </row>
    <row r="127" spans="1:236" ht="18.75" x14ac:dyDescent="0.3">
      <c r="H127" s="228"/>
      <c r="N127" s="228"/>
      <c r="O127" s="25"/>
      <c r="P127" s="25"/>
      <c r="Q127" s="25"/>
      <c r="T127" s="303"/>
      <c r="U127" s="303"/>
      <c r="V127" s="304"/>
      <c r="W127" s="304"/>
      <c r="X127" s="304"/>
      <c r="Y127" s="304"/>
      <c r="Z127" s="304"/>
      <c r="AA127" s="304"/>
      <c r="AB127" s="304"/>
      <c r="AC127" s="304"/>
      <c r="AD127" s="304"/>
      <c r="AE127" s="304"/>
      <c r="AF127" s="304"/>
      <c r="AG127" s="304"/>
      <c r="AH127" s="304"/>
      <c r="AI127" s="304"/>
      <c r="AJ127" s="304"/>
      <c r="AK127" s="304"/>
      <c r="AL127" s="304"/>
      <c r="AM127" s="304"/>
      <c r="AN127" s="304"/>
      <c r="AO127" s="304"/>
      <c r="AP127" s="304"/>
      <c r="AQ127" s="304"/>
      <c r="AR127" s="304"/>
      <c r="AS127" s="304"/>
      <c r="AT127" s="304"/>
      <c r="AU127" s="304"/>
      <c r="AV127" s="304"/>
      <c r="AW127" s="304"/>
      <c r="AX127" s="304"/>
      <c r="AY127" s="304"/>
      <c r="AZ127" s="304"/>
      <c r="BA127" s="304"/>
      <c r="BB127" s="304"/>
      <c r="BC127" s="304"/>
      <c r="BD127" s="304"/>
      <c r="BE127" s="304"/>
      <c r="BF127" s="304"/>
      <c r="BG127" s="304"/>
      <c r="BH127" s="304"/>
      <c r="BI127" s="304"/>
      <c r="BJ127" s="304"/>
      <c r="BK127" s="304"/>
      <c r="BL127" s="304"/>
      <c r="BM127" s="304"/>
      <c r="BN127" s="304"/>
      <c r="BO127" s="304"/>
      <c r="BP127" s="304"/>
      <c r="BQ127" s="304"/>
      <c r="BR127" s="304"/>
      <c r="BS127" s="304"/>
      <c r="BT127" s="304"/>
      <c r="BU127" s="304"/>
      <c r="BV127" s="304"/>
      <c r="BW127" s="304"/>
      <c r="BX127" s="304"/>
      <c r="BY127" s="304"/>
      <c r="BZ127" s="304"/>
      <c r="CA127" s="304"/>
      <c r="CB127" s="304"/>
      <c r="CC127" s="304"/>
      <c r="CD127" s="304"/>
      <c r="CE127" s="304"/>
      <c r="CF127" s="304"/>
      <c r="CG127" s="304"/>
      <c r="CH127" s="304"/>
      <c r="CI127" s="304"/>
      <c r="CJ127" s="304"/>
      <c r="CK127" s="304"/>
      <c r="CL127" s="304"/>
      <c r="CM127" s="304"/>
      <c r="CN127" s="304"/>
      <c r="CO127" s="304"/>
      <c r="CP127" s="304"/>
      <c r="CQ127" s="304"/>
      <c r="CR127" s="304"/>
      <c r="CS127" s="304"/>
      <c r="CT127" s="304"/>
      <c r="CU127" s="304"/>
      <c r="CV127" s="304"/>
      <c r="CW127" s="304"/>
      <c r="CX127" s="304"/>
      <c r="CY127" s="304"/>
      <c r="CZ127" s="304"/>
      <c r="DA127" s="304"/>
      <c r="DB127" s="304"/>
      <c r="DC127" s="304"/>
      <c r="DD127" s="304"/>
      <c r="DE127" s="304"/>
      <c r="DF127" s="304"/>
      <c r="DG127" s="304"/>
      <c r="DH127" s="304"/>
      <c r="DI127" s="304"/>
      <c r="DJ127" s="304"/>
      <c r="DK127" s="304"/>
      <c r="DL127" s="304"/>
      <c r="DM127" s="304"/>
      <c r="DN127" s="304"/>
      <c r="DO127" s="304"/>
      <c r="DP127" s="304"/>
      <c r="DQ127" s="304"/>
      <c r="DR127" s="304"/>
      <c r="DS127" s="304"/>
      <c r="DT127" s="304"/>
      <c r="DU127" s="304"/>
      <c r="DV127" s="304"/>
      <c r="DW127" s="304"/>
      <c r="DX127" s="304"/>
      <c r="DY127" s="304"/>
      <c r="DZ127" s="304"/>
      <c r="EA127" s="304"/>
      <c r="EB127" s="304"/>
      <c r="EC127" s="304"/>
      <c r="ED127" s="304"/>
      <c r="EE127" s="304"/>
      <c r="EF127" s="304"/>
      <c r="EG127" s="304"/>
      <c r="EH127" s="304"/>
      <c r="EI127" s="304"/>
      <c r="EJ127" s="304"/>
      <c r="EK127" s="304"/>
      <c r="EL127" s="304"/>
      <c r="EM127" s="304"/>
      <c r="EN127" s="304"/>
      <c r="EO127" s="304"/>
      <c r="EP127" s="304"/>
      <c r="EQ127" s="304"/>
      <c r="ER127" s="304"/>
      <c r="ES127" s="304"/>
      <c r="ET127" s="304"/>
      <c r="EU127" s="304"/>
      <c r="EV127" s="304"/>
      <c r="EW127" s="304"/>
      <c r="EX127" s="304"/>
      <c r="EY127" s="304"/>
      <c r="EZ127" s="304"/>
      <c r="FA127" s="304"/>
      <c r="FB127" s="304"/>
      <c r="FC127" s="304"/>
      <c r="FD127" s="304"/>
      <c r="FE127" s="304"/>
      <c r="FF127" s="304"/>
      <c r="FG127" s="304"/>
      <c r="FH127" s="304"/>
      <c r="FI127" s="304"/>
      <c r="FJ127" s="304"/>
      <c r="FK127" s="304"/>
      <c r="FL127" s="304"/>
      <c r="FM127" s="304"/>
      <c r="FN127" s="304"/>
      <c r="FO127" s="304"/>
      <c r="FP127" s="304"/>
      <c r="FQ127" s="304"/>
      <c r="FR127" s="304"/>
      <c r="FS127" s="304"/>
      <c r="FT127" s="304"/>
      <c r="FU127" s="304"/>
      <c r="FV127" s="304"/>
      <c r="FW127" s="304"/>
      <c r="FX127" s="304"/>
      <c r="FY127" s="304"/>
      <c r="FZ127" s="304"/>
      <c r="GA127" s="304"/>
      <c r="GB127" s="304"/>
      <c r="GC127" s="304"/>
      <c r="GD127" s="304"/>
      <c r="GE127" s="304"/>
      <c r="GF127" s="304"/>
      <c r="GG127" s="304"/>
      <c r="GH127" s="304"/>
      <c r="GI127" s="304"/>
      <c r="GJ127" s="304"/>
      <c r="GK127" s="304"/>
      <c r="GL127" s="304"/>
      <c r="GM127" s="304"/>
      <c r="GN127" s="304"/>
      <c r="GO127" s="304"/>
      <c r="GP127" s="304"/>
      <c r="GQ127" s="304"/>
      <c r="GR127" s="304"/>
      <c r="GS127" s="304"/>
      <c r="GT127" s="304"/>
      <c r="GU127" s="304"/>
      <c r="GV127" s="304"/>
      <c r="GW127" s="304"/>
      <c r="GX127" s="304"/>
      <c r="GY127" s="304"/>
      <c r="GZ127" s="304"/>
      <c r="HA127" s="304"/>
      <c r="HB127" s="304"/>
      <c r="HC127" s="304"/>
      <c r="HD127" s="304"/>
      <c r="HE127" s="304"/>
      <c r="HF127" s="304"/>
      <c r="HG127" s="304"/>
      <c r="HH127" s="304"/>
      <c r="HI127" s="304"/>
      <c r="HJ127" s="304"/>
      <c r="HK127" s="304"/>
      <c r="HL127" s="304"/>
      <c r="HM127" s="304"/>
      <c r="HN127" s="304"/>
      <c r="HO127" s="304"/>
      <c r="HP127" s="304"/>
      <c r="HQ127" s="304"/>
      <c r="HR127" s="304"/>
      <c r="HS127" s="304"/>
      <c r="HT127" s="304"/>
      <c r="HU127" s="304"/>
      <c r="HV127" s="304"/>
      <c r="HW127" s="304"/>
      <c r="HX127" s="304"/>
      <c r="HY127" s="304"/>
      <c r="HZ127" s="304"/>
      <c r="IA127" s="304"/>
      <c r="IB127" s="304"/>
    </row>
    <row r="128" spans="1:236" ht="18.75" x14ac:dyDescent="0.3">
      <c r="H128" s="228"/>
      <c r="N128" s="228"/>
      <c r="O128" s="25"/>
      <c r="P128" s="25"/>
      <c r="Q128" s="25"/>
      <c r="T128" s="303"/>
      <c r="U128" s="303"/>
      <c r="V128" s="307"/>
      <c r="W128" s="307"/>
      <c r="X128" s="307"/>
      <c r="Y128" s="307"/>
      <c r="Z128" s="307"/>
      <c r="AA128" s="307"/>
      <c r="AB128" s="307"/>
      <c r="AC128" s="307"/>
      <c r="AD128" s="307"/>
      <c r="AE128" s="307"/>
      <c r="AF128" s="307"/>
      <c r="AG128" s="307"/>
      <c r="AH128" s="307"/>
      <c r="AI128" s="307"/>
      <c r="AJ128" s="307"/>
      <c r="AK128" s="307"/>
      <c r="AL128" s="307"/>
      <c r="AM128" s="307"/>
      <c r="AN128" s="307"/>
      <c r="AO128" s="307"/>
      <c r="AP128" s="307"/>
      <c r="AQ128" s="307"/>
      <c r="AR128" s="307"/>
      <c r="AS128" s="307"/>
      <c r="AT128" s="307"/>
      <c r="AU128" s="307"/>
      <c r="AV128" s="307"/>
      <c r="AW128" s="307"/>
      <c r="AX128" s="307"/>
      <c r="AY128" s="307"/>
      <c r="AZ128" s="307"/>
      <c r="BA128" s="307"/>
      <c r="BB128" s="307"/>
      <c r="BC128" s="307"/>
      <c r="BD128" s="307"/>
      <c r="BE128" s="307"/>
      <c r="BF128" s="307"/>
      <c r="BG128" s="307"/>
      <c r="BH128" s="307"/>
      <c r="BI128" s="307"/>
      <c r="BJ128" s="307"/>
      <c r="BK128" s="307"/>
      <c r="BL128" s="307"/>
      <c r="BM128" s="307"/>
      <c r="BN128" s="307"/>
      <c r="BO128" s="307"/>
      <c r="BP128" s="307"/>
      <c r="BQ128" s="307"/>
      <c r="BR128" s="307"/>
      <c r="BS128" s="307"/>
      <c r="BT128" s="307"/>
      <c r="BU128" s="307"/>
      <c r="BV128" s="307"/>
      <c r="BW128" s="307"/>
      <c r="BX128" s="307"/>
      <c r="BY128" s="307"/>
      <c r="BZ128" s="307"/>
      <c r="CA128" s="307"/>
      <c r="CB128" s="307"/>
      <c r="CC128" s="307"/>
      <c r="CD128" s="307"/>
      <c r="CE128" s="307"/>
      <c r="CF128" s="307"/>
      <c r="CG128" s="307"/>
      <c r="CH128" s="307"/>
      <c r="CI128" s="307"/>
      <c r="CJ128" s="307"/>
      <c r="CK128" s="307"/>
      <c r="CL128" s="307"/>
      <c r="CM128" s="307"/>
      <c r="CN128" s="307"/>
      <c r="CO128" s="307"/>
      <c r="CP128" s="307"/>
      <c r="CQ128" s="307"/>
      <c r="CR128" s="307"/>
      <c r="CS128" s="307"/>
      <c r="CT128" s="307"/>
      <c r="CU128" s="307"/>
      <c r="CV128" s="307"/>
      <c r="CW128" s="307"/>
      <c r="CX128" s="307"/>
      <c r="CY128" s="307"/>
      <c r="CZ128" s="307"/>
      <c r="DA128" s="307"/>
      <c r="DB128" s="307"/>
      <c r="DC128" s="307"/>
      <c r="DD128" s="307"/>
      <c r="DE128" s="307"/>
      <c r="DF128" s="307"/>
      <c r="DG128" s="307"/>
      <c r="DH128" s="307"/>
      <c r="DI128" s="307"/>
      <c r="DJ128" s="307"/>
      <c r="DK128" s="307"/>
      <c r="DL128" s="307"/>
      <c r="DM128" s="307"/>
      <c r="DN128" s="307"/>
      <c r="DO128" s="307"/>
      <c r="DP128" s="307"/>
      <c r="DQ128" s="307"/>
      <c r="DR128" s="307"/>
      <c r="DS128" s="307"/>
      <c r="DT128" s="307"/>
      <c r="DU128" s="307"/>
      <c r="DV128" s="307"/>
      <c r="DW128" s="307"/>
      <c r="DX128" s="307"/>
      <c r="DY128" s="307"/>
      <c r="DZ128" s="307"/>
      <c r="EA128" s="307"/>
      <c r="EB128" s="307"/>
      <c r="EC128" s="307"/>
      <c r="ED128" s="307"/>
      <c r="EE128" s="307"/>
      <c r="EF128" s="307"/>
      <c r="EG128" s="307"/>
      <c r="EH128" s="307"/>
      <c r="EI128" s="307"/>
      <c r="EJ128" s="307"/>
      <c r="EK128" s="307"/>
      <c r="EL128" s="307"/>
      <c r="EM128" s="307"/>
      <c r="EN128" s="307"/>
      <c r="EO128" s="307"/>
      <c r="EP128" s="307"/>
      <c r="EQ128" s="307"/>
      <c r="ER128" s="307"/>
      <c r="ES128" s="307"/>
      <c r="ET128" s="307"/>
      <c r="EU128" s="307"/>
      <c r="EV128" s="307"/>
      <c r="EW128" s="307"/>
      <c r="EX128" s="307"/>
      <c r="EY128" s="307"/>
      <c r="EZ128" s="307"/>
      <c r="FA128" s="307"/>
      <c r="FB128" s="307"/>
      <c r="FC128" s="307"/>
      <c r="FD128" s="307"/>
      <c r="FE128" s="307"/>
      <c r="FF128" s="307"/>
      <c r="FG128" s="307"/>
      <c r="FH128" s="307"/>
      <c r="FI128" s="307"/>
      <c r="FJ128" s="307"/>
      <c r="FK128" s="307"/>
      <c r="FL128" s="307"/>
      <c r="FM128" s="307"/>
      <c r="FN128" s="307"/>
      <c r="FO128" s="307"/>
      <c r="FP128" s="307"/>
      <c r="FQ128" s="307"/>
      <c r="FR128" s="307"/>
      <c r="FS128" s="307"/>
      <c r="FT128" s="307"/>
      <c r="FU128" s="307"/>
      <c r="FV128" s="307"/>
      <c r="FW128" s="307"/>
      <c r="FX128" s="307"/>
      <c r="FY128" s="307"/>
      <c r="FZ128" s="307"/>
      <c r="GA128" s="307"/>
      <c r="GB128" s="307"/>
      <c r="GC128" s="307"/>
      <c r="GD128" s="307"/>
      <c r="GE128" s="307"/>
      <c r="GF128" s="307"/>
      <c r="GG128" s="307"/>
      <c r="GH128" s="307"/>
      <c r="GI128" s="307"/>
      <c r="GJ128" s="307"/>
      <c r="GK128" s="307"/>
      <c r="GL128" s="307"/>
      <c r="GM128" s="307"/>
      <c r="GN128" s="307"/>
      <c r="GO128" s="307"/>
      <c r="GP128" s="307"/>
      <c r="GQ128" s="307"/>
      <c r="GR128" s="307"/>
      <c r="GS128" s="307"/>
      <c r="GT128" s="307"/>
      <c r="GU128" s="307"/>
      <c r="GV128" s="307"/>
      <c r="GW128" s="307"/>
      <c r="GX128" s="307"/>
      <c r="GY128" s="307"/>
      <c r="GZ128" s="307"/>
      <c r="HA128" s="307"/>
      <c r="HB128" s="307"/>
      <c r="HC128" s="307"/>
      <c r="HD128" s="307"/>
      <c r="HE128" s="307"/>
      <c r="HF128" s="307"/>
      <c r="HG128" s="307"/>
      <c r="HH128" s="307"/>
      <c r="HI128" s="307"/>
      <c r="HJ128" s="307"/>
      <c r="HK128" s="307"/>
      <c r="HL128" s="307"/>
      <c r="HM128" s="307"/>
      <c r="HN128" s="307"/>
      <c r="HO128" s="307"/>
      <c r="HP128" s="307"/>
      <c r="HQ128" s="307"/>
      <c r="HR128" s="307"/>
      <c r="HS128" s="307"/>
      <c r="HT128" s="307"/>
      <c r="HU128" s="307"/>
      <c r="HV128" s="307"/>
      <c r="HW128" s="307"/>
      <c r="HX128" s="307"/>
      <c r="HY128" s="307"/>
      <c r="HZ128" s="307"/>
      <c r="IA128" s="307"/>
      <c r="IB128" s="307"/>
    </row>
    <row r="129" spans="8:236" ht="18.75" x14ac:dyDescent="0.3">
      <c r="H129" s="228"/>
      <c r="N129" s="228"/>
      <c r="O129" s="25"/>
      <c r="P129" s="25"/>
      <c r="Q129" s="25"/>
      <c r="T129" s="303"/>
      <c r="U129" s="303"/>
      <c r="V129" s="307"/>
      <c r="W129" s="307"/>
      <c r="X129" s="307"/>
      <c r="Y129" s="307"/>
      <c r="Z129" s="307"/>
      <c r="AA129" s="307"/>
      <c r="AB129" s="307"/>
      <c r="AC129" s="307"/>
      <c r="AD129" s="307"/>
      <c r="AE129" s="307"/>
      <c r="AF129" s="307"/>
      <c r="AG129" s="307"/>
      <c r="AH129" s="307"/>
      <c r="AI129" s="307"/>
      <c r="AJ129" s="307"/>
      <c r="AK129" s="307"/>
      <c r="AL129" s="307"/>
      <c r="AM129" s="307"/>
      <c r="AN129" s="307"/>
      <c r="AO129" s="307"/>
      <c r="AP129" s="307"/>
      <c r="AQ129" s="307"/>
      <c r="AR129" s="307"/>
      <c r="AS129" s="307"/>
      <c r="AT129" s="307"/>
      <c r="AU129" s="307"/>
      <c r="AV129" s="307"/>
      <c r="AW129" s="307"/>
      <c r="AX129" s="307"/>
      <c r="AY129" s="307"/>
      <c r="AZ129" s="307"/>
      <c r="BA129" s="307"/>
      <c r="BB129" s="307"/>
      <c r="BC129" s="307"/>
      <c r="BD129" s="307"/>
      <c r="BE129" s="307"/>
      <c r="BF129" s="307"/>
      <c r="BG129" s="307"/>
      <c r="BH129" s="307"/>
      <c r="BI129" s="307"/>
      <c r="BJ129" s="307"/>
      <c r="BK129" s="307"/>
      <c r="BL129" s="307"/>
      <c r="BM129" s="307"/>
      <c r="BN129" s="307"/>
      <c r="BO129" s="307"/>
      <c r="BP129" s="307"/>
      <c r="BQ129" s="307"/>
      <c r="BR129" s="307"/>
      <c r="BS129" s="307"/>
      <c r="BT129" s="307"/>
      <c r="BU129" s="307"/>
      <c r="BV129" s="307"/>
      <c r="BW129" s="307"/>
      <c r="BX129" s="307"/>
      <c r="BY129" s="307"/>
      <c r="BZ129" s="307"/>
      <c r="CA129" s="307"/>
      <c r="CB129" s="307"/>
      <c r="CC129" s="307"/>
      <c r="CD129" s="307"/>
      <c r="CE129" s="307"/>
      <c r="CF129" s="307"/>
      <c r="CG129" s="307"/>
      <c r="CH129" s="307"/>
      <c r="CI129" s="307"/>
      <c r="CJ129" s="307"/>
      <c r="CK129" s="307"/>
      <c r="CL129" s="307"/>
      <c r="CM129" s="307"/>
      <c r="CN129" s="307"/>
      <c r="CO129" s="307"/>
      <c r="CP129" s="307"/>
      <c r="CQ129" s="307"/>
      <c r="CR129" s="307"/>
      <c r="CS129" s="307"/>
      <c r="CT129" s="307"/>
      <c r="CU129" s="307"/>
      <c r="CV129" s="307"/>
      <c r="CW129" s="307"/>
      <c r="CX129" s="307"/>
      <c r="CY129" s="307"/>
      <c r="CZ129" s="307"/>
      <c r="DA129" s="307"/>
      <c r="DB129" s="307"/>
      <c r="DC129" s="307"/>
      <c r="DD129" s="307"/>
      <c r="DE129" s="307"/>
      <c r="DF129" s="307"/>
      <c r="DG129" s="307"/>
      <c r="DH129" s="307"/>
      <c r="DI129" s="307"/>
      <c r="DJ129" s="307"/>
      <c r="DK129" s="307"/>
      <c r="DL129" s="307"/>
      <c r="DM129" s="307"/>
      <c r="DN129" s="307"/>
      <c r="DO129" s="307"/>
      <c r="DP129" s="307"/>
      <c r="DQ129" s="307"/>
      <c r="DR129" s="307"/>
      <c r="DS129" s="307"/>
      <c r="DT129" s="307"/>
      <c r="DU129" s="307"/>
      <c r="DV129" s="307"/>
      <c r="DW129" s="307"/>
      <c r="DX129" s="307"/>
      <c r="DY129" s="307"/>
      <c r="DZ129" s="307"/>
      <c r="EA129" s="307"/>
      <c r="EB129" s="307"/>
      <c r="EC129" s="307"/>
      <c r="ED129" s="307"/>
      <c r="EE129" s="307"/>
      <c r="EF129" s="307"/>
      <c r="EG129" s="307"/>
      <c r="EH129" s="307"/>
      <c r="EI129" s="307"/>
      <c r="EJ129" s="307"/>
      <c r="EK129" s="307"/>
      <c r="EL129" s="307"/>
      <c r="EM129" s="307"/>
      <c r="EN129" s="307"/>
      <c r="EO129" s="307"/>
      <c r="EP129" s="307"/>
      <c r="EQ129" s="307"/>
      <c r="ER129" s="307"/>
      <c r="ES129" s="307"/>
      <c r="ET129" s="307"/>
      <c r="EU129" s="307"/>
      <c r="EV129" s="307"/>
      <c r="EW129" s="307"/>
      <c r="EX129" s="307"/>
      <c r="EY129" s="307"/>
      <c r="EZ129" s="307"/>
      <c r="FA129" s="307"/>
      <c r="FB129" s="307"/>
      <c r="FC129" s="307"/>
      <c r="FD129" s="307"/>
      <c r="FE129" s="307"/>
      <c r="FF129" s="307"/>
      <c r="FG129" s="307"/>
      <c r="FH129" s="307"/>
      <c r="FI129" s="307"/>
      <c r="FJ129" s="307"/>
      <c r="FK129" s="307"/>
      <c r="FL129" s="307"/>
      <c r="FM129" s="307"/>
      <c r="FN129" s="307"/>
      <c r="FO129" s="307"/>
      <c r="FP129" s="307"/>
      <c r="FQ129" s="307"/>
      <c r="FR129" s="307"/>
      <c r="FS129" s="307"/>
      <c r="FT129" s="307"/>
      <c r="FU129" s="307"/>
      <c r="FV129" s="307"/>
      <c r="FW129" s="307"/>
      <c r="FX129" s="307"/>
      <c r="FY129" s="307"/>
      <c r="FZ129" s="307"/>
      <c r="GA129" s="307"/>
      <c r="GB129" s="307"/>
      <c r="GC129" s="307"/>
      <c r="GD129" s="307"/>
      <c r="GE129" s="307"/>
      <c r="GF129" s="307"/>
      <c r="GG129" s="307"/>
      <c r="GH129" s="307"/>
      <c r="GI129" s="307"/>
      <c r="GJ129" s="307"/>
      <c r="GK129" s="307"/>
      <c r="GL129" s="307"/>
      <c r="GM129" s="307"/>
      <c r="GN129" s="307"/>
      <c r="GO129" s="307"/>
      <c r="GP129" s="307"/>
      <c r="GQ129" s="307"/>
      <c r="GR129" s="307"/>
      <c r="GS129" s="307"/>
      <c r="GT129" s="307"/>
      <c r="GU129" s="307"/>
      <c r="GV129" s="307"/>
      <c r="GW129" s="307"/>
      <c r="GX129" s="307"/>
      <c r="GY129" s="307"/>
      <c r="GZ129" s="307"/>
      <c r="HA129" s="307"/>
      <c r="HB129" s="307"/>
      <c r="HC129" s="307"/>
      <c r="HD129" s="307"/>
      <c r="HE129" s="307"/>
      <c r="HF129" s="307"/>
      <c r="HG129" s="307"/>
      <c r="HH129" s="307"/>
      <c r="HI129" s="307"/>
      <c r="HJ129" s="307"/>
      <c r="HK129" s="307"/>
      <c r="HL129" s="307"/>
      <c r="HM129" s="307"/>
      <c r="HN129" s="307"/>
      <c r="HO129" s="307"/>
      <c r="HP129" s="307"/>
      <c r="HQ129" s="307"/>
      <c r="HR129" s="307"/>
      <c r="HS129" s="307"/>
      <c r="HT129" s="307"/>
      <c r="HU129" s="307"/>
      <c r="HV129" s="307"/>
      <c r="HW129" s="307"/>
      <c r="HX129" s="307"/>
      <c r="HY129" s="307"/>
      <c r="HZ129" s="307"/>
      <c r="IA129" s="307"/>
      <c r="IB129" s="307"/>
    </row>
    <row r="130" spans="8:236" ht="18.75" x14ac:dyDescent="0.3">
      <c r="H130" s="228"/>
      <c r="N130" s="228"/>
      <c r="O130" s="25"/>
      <c r="P130" s="25"/>
      <c r="Q130" s="25"/>
      <c r="T130" s="303"/>
      <c r="U130" s="303"/>
      <c r="V130" s="303"/>
      <c r="W130" s="303"/>
      <c r="X130" s="303"/>
      <c r="Y130" s="303"/>
      <c r="Z130" s="303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  <c r="BW130" s="303"/>
      <c r="BX130" s="303"/>
      <c r="BY130" s="303"/>
      <c r="BZ130" s="303"/>
      <c r="CA130" s="303"/>
      <c r="CB130" s="303"/>
      <c r="CC130" s="303"/>
      <c r="CD130" s="303"/>
      <c r="CE130" s="303"/>
      <c r="CF130" s="303"/>
      <c r="CG130" s="303"/>
      <c r="CH130" s="303"/>
      <c r="CI130" s="303"/>
      <c r="CJ130" s="303"/>
      <c r="CK130" s="303"/>
      <c r="CL130" s="303"/>
      <c r="CM130" s="303"/>
      <c r="CN130" s="303"/>
      <c r="CO130" s="303"/>
      <c r="CP130" s="303"/>
      <c r="CQ130" s="303"/>
      <c r="CR130" s="303"/>
      <c r="CS130" s="303"/>
      <c r="CT130" s="303"/>
      <c r="CU130" s="303"/>
      <c r="CV130" s="303"/>
      <c r="CW130" s="303"/>
      <c r="CX130" s="303"/>
      <c r="CY130" s="303"/>
      <c r="CZ130" s="303"/>
      <c r="DA130" s="303"/>
      <c r="DB130" s="303"/>
      <c r="DC130" s="303"/>
      <c r="DD130" s="303"/>
      <c r="DE130" s="303"/>
      <c r="DF130" s="303"/>
      <c r="DG130" s="303"/>
      <c r="DH130" s="303"/>
      <c r="DI130" s="303"/>
      <c r="DJ130" s="303"/>
      <c r="DK130" s="303"/>
      <c r="DL130" s="303"/>
      <c r="DM130" s="303"/>
      <c r="DN130" s="303"/>
      <c r="DO130" s="303"/>
      <c r="DP130" s="303"/>
      <c r="DQ130" s="303"/>
      <c r="DR130" s="303"/>
      <c r="DS130" s="303"/>
      <c r="DT130" s="303"/>
      <c r="DU130" s="303"/>
      <c r="DV130" s="303"/>
      <c r="DW130" s="303"/>
      <c r="DX130" s="303"/>
      <c r="DY130" s="303"/>
      <c r="DZ130" s="303"/>
      <c r="EA130" s="303"/>
      <c r="EB130" s="303"/>
      <c r="EC130" s="303"/>
      <c r="ED130" s="303"/>
      <c r="EE130" s="303"/>
      <c r="EF130" s="303"/>
      <c r="EG130" s="303"/>
      <c r="EH130" s="303"/>
      <c r="EI130" s="303"/>
      <c r="EJ130" s="303"/>
      <c r="EK130" s="303"/>
      <c r="EL130" s="303"/>
      <c r="EM130" s="303"/>
      <c r="EN130" s="303"/>
      <c r="EO130" s="303"/>
      <c r="EP130" s="303"/>
      <c r="EQ130" s="303"/>
      <c r="ER130" s="303"/>
      <c r="ES130" s="303"/>
      <c r="ET130" s="303"/>
      <c r="EU130" s="303"/>
      <c r="EV130" s="303"/>
      <c r="EW130" s="303"/>
      <c r="EX130" s="303"/>
      <c r="EY130" s="303"/>
      <c r="EZ130" s="303"/>
      <c r="FA130" s="303"/>
      <c r="FB130" s="303"/>
      <c r="FC130" s="303"/>
      <c r="FD130" s="303"/>
      <c r="FE130" s="303"/>
      <c r="FF130" s="303"/>
      <c r="FG130" s="303"/>
      <c r="FH130" s="303"/>
      <c r="FI130" s="303"/>
      <c r="FJ130" s="303"/>
      <c r="FK130" s="303"/>
      <c r="FL130" s="303"/>
      <c r="FM130" s="303"/>
      <c r="FN130" s="303"/>
      <c r="FO130" s="303"/>
      <c r="FP130" s="303"/>
      <c r="FQ130" s="303"/>
      <c r="FR130" s="303"/>
      <c r="FS130" s="303"/>
      <c r="FT130" s="303"/>
      <c r="FU130" s="303"/>
      <c r="FV130" s="303"/>
      <c r="FW130" s="303"/>
      <c r="FX130" s="303"/>
      <c r="FY130" s="303"/>
      <c r="FZ130" s="303"/>
      <c r="GA130" s="303"/>
      <c r="GB130" s="303"/>
      <c r="GC130" s="303"/>
      <c r="GD130" s="303"/>
      <c r="GE130" s="303"/>
      <c r="GF130" s="303"/>
      <c r="GG130" s="303"/>
      <c r="GH130" s="303"/>
      <c r="GI130" s="303"/>
      <c r="GJ130" s="303"/>
      <c r="GK130" s="303"/>
      <c r="GL130" s="303"/>
      <c r="GM130" s="303"/>
      <c r="GN130" s="303"/>
      <c r="GO130" s="303"/>
      <c r="GP130" s="303"/>
      <c r="GQ130" s="303"/>
      <c r="GR130" s="303"/>
      <c r="GS130" s="303"/>
      <c r="GT130" s="303"/>
      <c r="GU130" s="303"/>
      <c r="GV130" s="303"/>
      <c r="GW130" s="303"/>
      <c r="GX130" s="303"/>
      <c r="GY130" s="303"/>
      <c r="GZ130" s="303"/>
      <c r="HA130" s="303"/>
      <c r="HB130" s="303"/>
      <c r="HC130" s="303"/>
      <c r="HD130" s="303"/>
      <c r="HE130" s="303"/>
      <c r="HF130" s="303"/>
      <c r="HG130" s="303"/>
      <c r="HH130" s="303"/>
      <c r="HI130" s="303"/>
      <c r="HJ130" s="303"/>
      <c r="HK130" s="303"/>
      <c r="HL130" s="303"/>
      <c r="HM130" s="303"/>
      <c r="HN130" s="303"/>
      <c r="HO130" s="303"/>
      <c r="HP130" s="303"/>
      <c r="HQ130" s="303"/>
      <c r="HR130" s="303"/>
      <c r="HS130" s="303"/>
      <c r="HT130" s="303"/>
      <c r="HU130" s="303"/>
      <c r="HV130" s="303"/>
      <c r="HW130" s="303"/>
      <c r="HX130" s="303"/>
      <c r="HY130" s="303"/>
      <c r="HZ130" s="303"/>
      <c r="IA130" s="303"/>
      <c r="IB130" s="303"/>
    </row>
    <row r="131" spans="8:236" ht="18.75" x14ac:dyDescent="0.3">
      <c r="H131" s="228"/>
      <c r="N131" s="228"/>
      <c r="O131" s="25"/>
      <c r="P131" s="25"/>
      <c r="Q131" s="25"/>
      <c r="S131" s="278"/>
      <c r="T131" s="318"/>
      <c r="U131" s="304"/>
      <c r="V131" s="304"/>
      <c r="W131" s="304"/>
      <c r="X131" s="304"/>
      <c r="Y131" s="304"/>
      <c r="Z131" s="304"/>
      <c r="AA131" s="304"/>
      <c r="AB131" s="304"/>
      <c r="AC131" s="304"/>
      <c r="AD131" s="304"/>
      <c r="AE131" s="304"/>
      <c r="AF131" s="304"/>
      <c r="AG131" s="304"/>
      <c r="AH131" s="304"/>
      <c r="AI131" s="304"/>
      <c r="AJ131" s="304"/>
      <c r="AK131" s="304"/>
      <c r="AL131" s="304"/>
      <c r="AM131" s="304"/>
      <c r="AN131" s="304"/>
      <c r="AO131" s="304"/>
      <c r="AP131" s="304"/>
      <c r="AQ131" s="304"/>
      <c r="AR131" s="304"/>
      <c r="AS131" s="304"/>
      <c r="AT131" s="304"/>
      <c r="AU131" s="304"/>
      <c r="AV131" s="304"/>
      <c r="AW131" s="304"/>
      <c r="AX131" s="304"/>
      <c r="AY131" s="304"/>
      <c r="AZ131" s="304"/>
      <c r="BA131" s="304"/>
      <c r="BB131" s="304"/>
      <c r="BC131" s="304"/>
      <c r="BD131" s="304"/>
      <c r="BE131" s="304"/>
      <c r="BF131" s="304"/>
      <c r="BG131" s="304"/>
      <c r="BH131" s="304"/>
      <c r="BI131" s="304"/>
      <c r="BJ131" s="304"/>
      <c r="BK131" s="304"/>
      <c r="BL131" s="304"/>
      <c r="BM131" s="304"/>
      <c r="BN131" s="304"/>
      <c r="BO131" s="304"/>
      <c r="BP131" s="304"/>
      <c r="BQ131" s="304"/>
      <c r="BR131" s="304"/>
      <c r="BS131" s="304"/>
      <c r="BT131" s="304"/>
      <c r="BU131" s="304"/>
      <c r="BV131" s="304"/>
      <c r="BW131" s="304"/>
      <c r="BX131" s="304"/>
      <c r="BY131" s="304"/>
      <c r="BZ131" s="304"/>
      <c r="CA131" s="304"/>
      <c r="CB131" s="304"/>
      <c r="CC131" s="304"/>
      <c r="CD131" s="304"/>
      <c r="CE131" s="304"/>
      <c r="CF131" s="304"/>
      <c r="CG131" s="304"/>
      <c r="CH131" s="304"/>
      <c r="CI131" s="304"/>
      <c r="CJ131" s="304"/>
      <c r="CK131" s="304"/>
      <c r="CL131" s="304"/>
      <c r="CM131" s="304"/>
      <c r="CN131" s="304"/>
      <c r="CO131" s="304"/>
      <c r="CP131" s="304"/>
      <c r="CQ131" s="304"/>
      <c r="CR131" s="304"/>
      <c r="CS131" s="304"/>
      <c r="CT131" s="304"/>
      <c r="CU131" s="304"/>
      <c r="CV131" s="304"/>
      <c r="CW131" s="304"/>
      <c r="CX131" s="304"/>
      <c r="CY131" s="304"/>
      <c r="CZ131" s="304"/>
      <c r="DA131" s="304"/>
      <c r="DB131" s="304"/>
      <c r="DC131" s="304"/>
      <c r="DD131" s="304"/>
      <c r="DE131" s="304"/>
      <c r="DF131" s="304"/>
      <c r="DG131" s="304"/>
      <c r="DH131" s="304"/>
      <c r="DI131" s="304"/>
      <c r="DJ131" s="304"/>
      <c r="DK131" s="304"/>
      <c r="DL131" s="304"/>
      <c r="DM131" s="304"/>
      <c r="DN131" s="304"/>
      <c r="DO131" s="304"/>
      <c r="DP131" s="304"/>
      <c r="DQ131" s="304"/>
      <c r="DR131" s="304"/>
      <c r="DS131" s="304"/>
      <c r="DT131" s="304"/>
      <c r="DU131" s="304"/>
      <c r="DV131" s="304"/>
      <c r="DW131" s="304"/>
      <c r="DX131" s="304"/>
      <c r="DY131" s="304"/>
      <c r="DZ131" s="304"/>
      <c r="EA131" s="304"/>
      <c r="EB131" s="304"/>
      <c r="EC131" s="304"/>
      <c r="ED131" s="304"/>
      <c r="EE131" s="304"/>
      <c r="EF131" s="304"/>
      <c r="EG131" s="304"/>
      <c r="EH131" s="304"/>
      <c r="EI131" s="304"/>
      <c r="EJ131" s="304"/>
      <c r="EK131" s="304"/>
      <c r="EL131" s="304"/>
      <c r="EM131" s="304"/>
      <c r="EN131" s="304"/>
      <c r="EO131" s="304"/>
      <c r="EP131" s="304"/>
      <c r="EQ131" s="304"/>
      <c r="ER131" s="304"/>
      <c r="ES131" s="304"/>
      <c r="ET131" s="304"/>
      <c r="EU131" s="304"/>
      <c r="EV131" s="304"/>
      <c r="EW131" s="304"/>
      <c r="EX131" s="304"/>
      <c r="EY131" s="304"/>
      <c r="EZ131" s="304"/>
      <c r="FA131" s="304"/>
      <c r="FB131" s="304"/>
      <c r="FC131" s="304"/>
      <c r="FD131" s="304"/>
      <c r="FE131" s="304"/>
      <c r="FF131" s="304"/>
      <c r="FG131" s="304"/>
      <c r="FH131" s="304"/>
      <c r="FI131" s="304"/>
      <c r="FJ131" s="304"/>
      <c r="FK131" s="304"/>
      <c r="FL131" s="304"/>
      <c r="FM131" s="304"/>
      <c r="FN131" s="304"/>
      <c r="FO131" s="304"/>
      <c r="FP131" s="304"/>
      <c r="FQ131" s="304"/>
      <c r="FR131" s="304"/>
      <c r="FS131" s="304"/>
      <c r="FT131" s="304"/>
      <c r="FU131" s="304"/>
      <c r="FV131" s="304"/>
      <c r="FW131" s="304"/>
      <c r="FX131" s="304"/>
      <c r="FY131" s="304"/>
      <c r="FZ131" s="304"/>
      <c r="GA131" s="304"/>
      <c r="GB131" s="304"/>
      <c r="GC131" s="304"/>
      <c r="GD131" s="304"/>
      <c r="GE131" s="304"/>
      <c r="GF131" s="304"/>
      <c r="GG131" s="304"/>
      <c r="GH131" s="304"/>
      <c r="GI131" s="304"/>
      <c r="GJ131" s="304"/>
      <c r="GK131" s="304"/>
      <c r="GL131" s="304"/>
      <c r="GM131" s="304"/>
      <c r="GN131" s="304"/>
      <c r="GO131" s="304"/>
      <c r="GP131" s="304"/>
      <c r="GQ131" s="304"/>
      <c r="GR131" s="304"/>
      <c r="GS131" s="304"/>
      <c r="GT131" s="304"/>
      <c r="GU131" s="304"/>
      <c r="GV131" s="304"/>
      <c r="GW131" s="304"/>
      <c r="GX131" s="304"/>
      <c r="GY131" s="304"/>
      <c r="GZ131" s="304"/>
      <c r="HA131" s="304"/>
      <c r="HB131" s="304"/>
      <c r="HC131" s="304"/>
      <c r="HD131" s="304"/>
      <c r="HE131" s="304"/>
      <c r="HF131" s="304"/>
      <c r="HG131" s="304"/>
      <c r="HH131" s="304"/>
      <c r="HI131" s="304"/>
      <c r="HJ131" s="304"/>
      <c r="HK131" s="304"/>
      <c r="HL131" s="304"/>
      <c r="HM131" s="304"/>
      <c r="HN131" s="304"/>
      <c r="HO131" s="304"/>
      <c r="HP131" s="304"/>
      <c r="HQ131" s="304"/>
      <c r="HR131" s="304"/>
      <c r="HS131" s="304"/>
      <c r="HT131" s="304"/>
      <c r="HU131" s="304"/>
      <c r="HV131" s="304"/>
      <c r="HW131" s="304"/>
      <c r="HX131" s="304"/>
      <c r="HY131" s="304"/>
      <c r="HZ131" s="304"/>
      <c r="IA131" s="304"/>
      <c r="IB131" s="304"/>
    </row>
    <row r="132" spans="8:236" ht="18.75" x14ac:dyDescent="0.3">
      <c r="H132" s="228"/>
      <c r="N132" s="228"/>
      <c r="O132" s="25"/>
      <c r="P132" s="25"/>
      <c r="Q132" s="25"/>
      <c r="T132" s="318"/>
      <c r="U132" s="304"/>
      <c r="V132" s="304"/>
      <c r="W132" s="304"/>
      <c r="X132" s="304"/>
      <c r="Y132" s="304"/>
      <c r="Z132" s="304"/>
      <c r="AA132" s="304"/>
      <c r="AB132" s="304"/>
      <c r="AC132" s="304"/>
      <c r="AD132" s="304"/>
      <c r="AE132" s="304"/>
      <c r="AF132" s="304"/>
      <c r="AG132" s="304"/>
      <c r="AH132" s="304"/>
      <c r="AI132" s="304"/>
      <c r="AJ132" s="304"/>
      <c r="AK132" s="304"/>
      <c r="AL132" s="304"/>
      <c r="AM132" s="304"/>
      <c r="AN132" s="304"/>
      <c r="AO132" s="304"/>
      <c r="AP132" s="304"/>
      <c r="AQ132" s="304"/>
      <c r="AR132" s="304"/>
      <c r="AS132" s="304"/>
      <c r="AT132" s="304"/>
      <c r="AU132" s="304"/>
      <c r="AV132" s="304"/>
      <c r="AW132" s="304"/>
      <c r="AX132" s="304"/>
      <c r="AY132" s="304"/>
      <c r="AZ132" s="304"/>
      <c r="BA132" s="304"/>
      <c r="BB132" s="304"/>
      <c r="BC132" s="304"/>
      <c r="BD132" s="304"/>
      <c r="BE132" s="304"/>
      <c r="BF132" s="304"/>
      <c r="BG132" s="304"/>
      <c r="BH132" s="304"/>
      <c r="BI132" s="304"/>
      <c r="BJ132" s="304"/>
      <c r="BK132" s="304"/>
      <c r="BL132" s="304"/>
      <c r="BM132" s="304"/>
      <c r="BN132" s="304"/>
      <c r="BO132" s="304"/>
      <c r="BP132" s="304"/>
      <c r="BQ132" s="304"/>
      <c r="BR132" s="304"/>
      <c r="BS132" s="304"/>
      <c r="BT132" s="304"/>
      <c r="BU132" s="304"/>
      <c r="BV132" s="304"/>
      <c r="BW132" s="304"/>
      <c r="BX132" s="304"/>
      <c r="BY132" s="304"/>
      <c r="BZ132" s="304"/>
      <c r="CA132" s="304"/>
      <c r="CB132" s="304"/>
      <c r="CC132" s="304"/>
      <c r="CD132" s="304"/>
      <c r="CE132" s="304"/>
      <c r="CF132" s="304"/>
      <c r="CG132" s="304"/>
      <c r="CH132" s="304"/>
      <c r="CI132" s="304"/>
      <c r="CJ132" s="304"/>
      <c r="CK132" s="304"/>
      <c r="CL132" s="304"/>
      <c r="CM132" s="304"/>
      <c r="CN132" s="304"/>
      <c r="CO132" s="304"/>
      <c r="CP132" s="304"/>
      <c r="CQ132" s="304"/>
      <c r="CR132" s="304"/>
      <c r="CS132" s="304"/>
      <c r="CT132" s="304"/>
      <c r="CU132" s="304"/>
      <c r="CV132" s="304"/>
      <c r="CW132" s="304"/>
      <c r="CX132" s="304"/>
      <c r="CY132" s="304"/>
      <c r="CZ132" s="304"/>
      <c r="DA132" s="304"/>
      <c r="DB132" s="304"/>
      <c r="DC132" s="304"/>
      <c r="DD132" s="304"/>
      <c r="DE132" s="304"/>
      <c r="DF132" s="304"/>
      <c r="DG132" s="304"/>
      <c r="DH132" s="304"/>
      <c r="DI132" s="304"/>
      <c r="DJ132" s="304"/>
      <c r="DK132" s="304"/>
      <c r="DL132" s="304"/>
      <c r="DM132" s="304"/>
      <c r="DN132" s="304"/>
      <c r="DO132" s="304"/>
      <c r="DP132" s="304"/>
      <c r="DQ132" s="304"/>
      <c r="DR132" s="304"/>
      <c r="DS132" s="304"/>
      <c r="DT132" s="304"/>
      <c r="DU132" s="304"/>
      <c r="DV132" s="304"/>
      <c r="DW132" s="304"/>
      <c r="DX132" s="304"/>
      <c r="DY132" s="304"/>
      <c r="DZ132" s="304"/>
      <c r="EA132" s="304"/>
      <c r="EB132" s="304"/>
      <c r="EC132" s="304"/>
      <c r="ED132" s="304"/>
      <c r="EE132" s="304"/>
      <c r="EF132" s="304"/>
      <c r="EG132" s="304"/>
      <c r="EH132" s="304"/>
      <c r="EI132" s="304"/>
      <c r="EJ132" s="304"/>
      <c r="EK132" s="304"/>
      <c r="EL132" s="304"/>
      <c r="EM132" s="304"/>
      <c r="EN132" s="304"/>
      <c r="EO132" s="304"/>
      <c r="EP132" s="304"/>
      <c r="EQ132" s="304"/>
      <c r="ER132" s="304"/>
      <c r="ES132" s="304"/>
      <c r="ET132" s="304"/>
      <c r="EU132" s="304"/>
      <c r="EV132" s="304"/>
      <c r="EW132" s="304"/>
      <c r="EX132" s="304"/>
      <c r="EY132" s="304"/>
      <c r="EZ132" s="304"/>
      <c r="FA132" s="304"/>
      <c r="FB132" s="304"/>
      <c r="FC132" s="304"/>
      <c r="FD132" s="304"/>
      <c r="FE132" s="304"/>
      <c r="FF132" s="304"/>
      <c r="FG132" s="304"/>
      <c r="FH132" s="304"/>
      <c r="FI132" s="304"/>
      <c r="FJ132" s="304"/>
      <c r="FK132" s="304"/>
      <c r="FL132" s="304"/>
      <c r="FM132" s="304"/>
      <c r="FN132" s="304"/>
      <c r="FO132" s="304"/>
      <c r="FP132" s="304"/>
      <c r="FQ132" s="304"/>
      <c r="FR132" s="304"/>
      <c r="FS132" s="304"/>
      <c r="FT132" s="304"/>
      <c r="FU132" s="304"/>
      <c r="FV132" s="304"/>
      <c r="FW132" s="304"/>
      <c r="FX132" s="304"/>
      <c r="FY132" s="304"/>
      <c r="FZ132" s="304"/>
      <c r="GA132" s="304"/>
      <c r="GB132" s="304"/>
      <c r="GC132" s="304"/>
      <c r="GD132" s="304"/>
      <c r="GE132" s="304"/>
      <c r="GF132" s="304"/>
      <c r="GG132" s="304"/>
      <c r="GH132" s="304"/>
      <c r="GI132" s="304"/>
      <c r="GJ132" s="304"/>
      <c r="GK132" s="304"/>
      <c r="GL132" s="304"/>
      <c r="GM132" s="304"/>
      <c r="GN132" s="304"/>
      <c r="GO132" s="304"/>
      <c r="GP132" s="304"/>
      <c r="GQ132" s="304"/>
      <c r="GR132" s="304"/>
      <c r="GS132" s="304"/>
      <c r="GT132" s="304"/>
      <c r="GU132" s="304"/>
      <c r="GV132" s="304"/>
      <c r="GW132" s="304"/>
      <c r="GX132" s="304"/>
      <c r="GY132" s="304"/>
      <c r="GZ132" s="304"/>
      <c r="HA132" s="304"/>
      <c r="HB132" s="304"/>
      <c r="HC132" s="304"/>
      <c r="HD132" s="304"/>
      <c r="HE132" s="304"/>
      <c r="HF132" s="304"/>
      <c r="HG132" s="304"/>
      <c r="HH132" s="304"/>
      <c r="HI132" s="304"/>
      <c r="HJ132" s="304"/>
      <c r="HK132" s="304"/>
      <c r="HL132" s="304"/>
      <c r="HM132" s="304"/>
      <c r="HN132" s="304"/>
      <c r="HO132" s="304"/>
      <c r="HP132" s="304"/>
      <c r="HQ132" s="304"/>
      <c r="HR132" s="304"/>
      <c r="HS132" s="304"/>
      <c r="HT132" s="304"/>
      <c r="HU132" s="304"/>
      <c r="HV132" s="304"/>
      <c r="HW132" s="304"/>
      <c r="HX132" s="304"/>
      <c r="HY132" s="304"/>
      <c r="HZ132" s="304"/>
      <c r="IA132" s="304"/>
      <c r="IB132" s="304"/>
    </row>
    <row r="133" spans="8:236" ht="18.75" x14ac:dyDescent="0.3">
      <c r="H133" s="228"/>
      <c r="N133" s="228"/>
      <c r="P133" s="25"/>
      <c r="Q133" s="25"/>
      <c r="T133" s="318"/>
      <c r="U133" s="304"/>
      <c r="V133" s="304"/>
      <c r="W133" s="304"/>
      <c r="X133" s="304"/>
      <c r="Y133" s="304"/>
      <c r="Z133" s="304"/>
      <c r="AA133" s="304"/>
      <c r="AB133" s="304"/>
      <c r="AC133" s="304"/>
      <c r="AD133" s="304"/>
      <c r="AE133" s="304"/>
      <c r="AF133" s="304"/>
      <c r="AG133" s="304"/>
      <c r="AH133" s="304"/>
      <c r="AI133" s="304"/>
      <c r="AJ133" s="304"/>
      <c r="AK133" s="304"/>
      <c r="AL133" s="304"/>
      <c r="AM133" s="304"/>
      <c r="AN133" s="304"/>
      <c r="AO133" s="304"/>
      <c r="AP133" s="304"/>
      <c r="AQ133" s="304"/>
      <c r="AR133" s="304"/>
      <c r="AS133" s="304"/>
      <c r="AT133" s="304"/>
      <c r="AU133" s="304"/>
      <c r="AV133" s="304"/>
      <c r="AW133" s="304"/>
      <c r="AX133" s="304"/>
      <c r="AY133" s="304"/>
      <c r="AZ133" s="304"/>
      <c r="BA133" s="304"/>
      <c r="BB133" s="304"/>
      <c r="BC133" s="304"/>
      <c r="BD133" s="304"/>
      <c r="BE133" s="304"/>
      <c r="BF133" s="304"/>
      <c r="BG133" s="304"/>
      <c r="BH133" s="304"/>
      <c r="BI133" s="304"/>
      <c r="BJ133" s="304"/>
      <c r="BK133" s="304"/>
      <c r="BL133" s="304"/>
      <c r="BM133" s="304"/>
      <c r="BN133" s="304"/>
      <c r="BO133" s="304"/>
      <c r="BP133" s="304"/>
      <c r="BQ133" s="304"/>
      <c r="BR133" s="304"/>
      <c r="BS133" s="304"/>
      <c r="BT133" s="304"/>
      <c r="BU133" s="304"/>
      <c r="BV133" s="304"/>
      <c r="BW133" s="304"/>
      <c r="BX133" s="304"/>
      <c r="BY133" s="304"/>
      <c r="BZ133" s="304"/>
      <c r="CA133" s="304"/>
      <c r="CB133" s="304"/>
      <c r="CC133" s="304"/>
      <c r="CD133" s="304"/>
      <c r="CE133" s="304"/>
      <c r="CF133" s="304"/>
      <c r="CG133" s="304"/>
      <c r="CH133" s="304"/>
      <c r="CI133" s="304"/>
      <c r="CJ133" s="304"/>
      <c r="CK133" s="304"/>
      <c r="CL133" s="304"/>
      <c r="CM133" s="304"/>
      <c r="CN133" s="304"/>
      <c r="CO133" s="304"/>
      <c r="CP133" s="304"/>
      <c r="CQ133" s="304"/>
      <c r="CR133" s="304"/>
      <c r="CS133" s="304"/>
      <c r="CT133" s="304"/>
      <c r="CU133" s="304"/>
      <c r="CV133" s="304"/>
      <c r="CW133" s="304"/>
      <c r="CX133" s="304"/>
      <c r="CY133" s="304"/>
      <c r="CZ133" s="304"/>
      <c r="DA133" s="304"/>
      <c r="DB133" s="304"/>
      <c r="DC133" s="304"/>
      <c r="DD133" s="304"/>
      <c r="DE133" s="304"/>
      <c r="DF133" s="304"/>
      <c r="DG133" s="304"/>
      <c r="DH133" s="304"/>
      <c r="DI133" s="304"/>
      <c r="DJ133" s="304"/>
      <c r="DK133" s="304"/>
      <c r="DL133" s="304"/>
      <c r="DM133" s="304"/>
      <c r="DN133" s="304"/>
      <c r="DO133" s="304"/>
      <c r="DP133" s="304"/>
      <c r="DQ133" s="304"/>
      <c r="DR133" s="304"/>
      <c r="DS133" s="304"/>
      <c r="DT133" s="304"/>
      <c r="DU133" s="304"/>
      <c r="DV133" s="304"/>
      <c r="DW133" s="304"/>
      <c r="DX133" s="304"/>
      <c r="DY133" s="304"/>
      <c r="DZ133" s="304"/>
      <c r="EA133" s="304"/>
      <c r="EB133" s="304"/>
      <c r="EC133" s="304"/>
      <c r="ED133" s="304"/>
      <c r="EE133" s="304"/>
      <c r="EF133" s="304"/>
      <c r="EG133" s="304"/>
      <c r="EH133" s="304"/>
      <c r="EI133" s="304"/>
      <c r="EJ133" s="304"/>
      <c r="EK133" s="304"/>
      <c r="EL133" s="304"/>
      <c r="EM133" s="304"/>
      <c r="EN133" s="304"/>
      <c r="EO133" s="304"/>
      <c r="EP133" s="304"/>
      <c r="EQ133" s="304"/>
      <c r="ER133" s="304"/>
      <c r="ES133" s="304"/>
      <c r="ET133" s="304"/>
      <c r="EU133" s="304"/>
      <c r="EV133" s="304"/>
      <c r="EW133" s="304"/>
      <c r="EX133" s="304"/>
      <c r="EY133" s="304"/>
      <c r="EZ133" s="304"/>
      <c r="FA133" s="304"/>
      <c r="FB133" s="304"/>
      <c r="FC133" s="304"/>
      <c r="FD133" s="304"/>
      <c r="FE133" s="304"/>
      <c r="FF133" s="304"/>
      <c r="FG133" s="304"/>
      <c r="FH133" s="304"/>
      <c r="FI133" s="304"/>
      <c r="FJ133" s="304"/>
      <c r="FK133" s="304"/>
      <c r="FL133" s="304"/>
      <c r="FM133" s="304"/>
      <c r="FN133" s="304"/>
      <c r="FO133" s="304"/>
      <c r="FP133" s="304"/>
      <c r="FQ133" s="304"/>
      <c r="FR133" s="304"/>
      <c r="FS133" s="304"/>
      <c r="FT133" s="304"/>
      <c r="FU133" s="304"/>
      <c r="FV133" s="304"/>
      <c r="FW133" s="304"/>
      <c r="FX133" s="304"/>
      <c r="FY133" s="304"/>
      <c r="FZ133" s="304"/>
      <c r="GA133" s="304"/>
      <c r="GB133" s="304"/>
      <c r="GC133" s="304"/>
      <c r="GD133" s="304"/>
      <c r="GE133" s="304"/>
      <c r="GF133" s="304"/>
      <c r="GG133" s="304"/>
      <c r="GH133" s="304"/>
      <c r="GI133" s="304"/>
      <c r="GJ133" s="304"/>
      <c r="GK133" s="304"/>
      <c r="GL133" s="304"/>
      <c r="GM133" s="304"/>
      <c r="GN133" s="304"/>
      <c r="GO133" s="304"/>
      <c r="GP133" s="304"/>
      <c r="GQ133" s="304"/>
      <c r="GR133" s="304"/>
      <c r="GS133" s="304"/>
      <c r="GT133" s="304"/>
      <c r="GU133" s="304"/>
      <c r="GV133" s="304"/>
      <c r="GW133" s="304"/>
      <c r="GX133" s="304"/>
      <c r="GY133" s="304"/>
      <c r="GZ133" s="304"/>
      <c r="HA133" s="304"/>
      <c r="HB133" s="304"/>
      <c r="HC133" s="304"/>
      <c r="HD133" s="304"/>
      <c r="HE133" s="304"/>
      <c r="HF133" s="304"/>
      <c r="HG133" s="304"/>
      <c r="HH133" s="304"/>
      <c r="HI133" s="304"/>
      <c r="HJ133" s="304"/>
      <c r="HK133" s="304"/>
      <c r="HL133" s="304"/>
      <c r="HM133" s="304"/>
      <c r="HN133" s="304"/>
      <c r="HO133" s="304"/>
      <c r="HP133" s="304"/>
      <c r="HQ133" s="304"/>
      <c r="HR133" s="304"/>
      <c r="HS133" s="304"/>
      <c r="HT133" s="304"/>
      <c r="HU133" s="304"/>
      <c r="HV133" s="304"/>
      <c r="HW133" s="304"/>
      <c r="HX133" s="304"/>
      <c r="HY133" s="304"/>
      <c r="HZ133" s="304"/>
      <c r="IA133" s="304"/>
      <c r="IB133" s="304"/>
    </row>
    <row r="134" spans="8:236" ht="18.75" x14ac:dyDescent="0.3">
      <c r="H134" s="228"/>
      <c r="N134" s="228"/>
      <c r="P134" s="25"/>
      <c r="Q134" s="25"/>
      <c r="T134" s="318"/>
      <c r="U134" s="320"/>
      <c r="V134" s="303"/>
      <c r="W134" s="303"/>
      <c r="X134" s="303"/>
      <c r="Y134" s="303"/>
      <c r="Z134" s="303"/>
      <c r="AA134" s="303"/>
      <c r="AB134" s="303"/>
      <c r="AC134" s="303"/>
      <c r="AD134" s="303"/>
      <c r="AE134" s="303"/>
      <c r="AF134" s="303"/>
      <c r="AG134" s="303"/>
      <c r="AH134" s="303"/>
      <c r="AI134" s="303"/>
      <c r="AJ134" s="303"/>
      <c r="AK134" s="303"/>
      <c r="AL134" s="303"/>
      <c r="AM134" s="303"/>
      <c r="AN134" s="303"/>
      <c r="AO134" s="303"/>
      <c r="AP134" s="303"/>
      <c r="AQ134" s="303"/>
      <c r="AR134" s="303"/>
      <c r="AS134" s="303"/>
      <c r="AT134" s="303"/>
      <c r="AU134" s="303"/>
      <c r="AV134" s="303"/>
      <c r="AW134" s="303"/>
      <c r="AX134" s="303"/>
      <c r="AY134" s="303"/>
      <c r="AZ134" s="303"/>
      <c r="BA134" s="303"/>
      <c r="BB134" s="303"/>
      <c r="BC134" s="303"/>
      <c r="BD134" s="303"/>
      <c r="BE134" s="303"/>
      <c r="BF134" s="303"/>
      <c r="BG134" s="303"/>
      <c r="BH134" s="303"/>
      <c r="BI134" s="303"/>
      <c r="BJ134" s="303"/>
      <c r="BK134" s="303"/>
      <c r="BL134" s="303"/>
      <c r="BM134" s="303"/>
      <c r="BN134" s="303"/>
      <c r="BO134" s="303"/>
      <c r="BP134" s="303"/>
      <c r="BQ134" s="303"/>
      <c r="BR134" s="303"/>
      <c r="BS134" s="303"/>
      <c r="BT134" s="303"/>
      <c r="BU134" s="303"/>
      <c r="BV134" s="303"/>
      <c r="BW134" s="303"/>
      <c r="BX134" s="303"/>
      <c r="BY134" s="303"/>
      <c r="BZ134" s="303"/>
      <c r="CA134" s="303"/>
      <c r="CB134" s="303"/>
      <c r="CC134" s="303"/>
      <c r="CD134" s="303"/>
      <c r="CE134" s="303"/>
      <c r="CF134" s="303"/>
      <c r="CG134" s="303"/>
      <c r="CH134" s="303"/>
      <c r="CI134" s="303"/>
      <c r="CJ134" s="303"/>
      <c r="CK134" s="303"/>
      <c r="CL134" s="303"/>
      <c r="CM134" s="303"/>
      <c r="CN134" s="303"/>
      <c r="CO134" s="303"/>
      <c r="CP134" s="303"/>
      <c r="CQ134" s="303"/>
      <c r="CR134" s="303"/>
      <c r="CS134" s="303"/>
      <c r="CT134" s="303"/>
      <c r="CU134" s="303"/>
      <c r="CV134" s="303"/>
      <c r="CW134" s="303"/>
      <c r="CX134" s="303"/>
      <c r="CY134" s="303"/>
      <c r="CZ134" s="303"/>
      <c r="DA134" s="303"/>
      <c r="DB134" s="303"/>
      <c r="DC134" s="303"/>
      <c r="DD134" s="303"/>
      <c r="DE134" s="303"/>
      <c r="DF134" s="303"/>
      <c r="DG134" s="303"/>
      <c r="DH134" s="303"/>
      <c r="DI134" s="303"/>
      <c r="DJ134" s="303"/>
      <c r="DK134" s="303"/>
      <c r="DL134" s="303"/>
      <c r="DM134" s="303"/>
      <c r="DN134" s="303"/>
      <c r="DO134" s="303"/>
      <c r="DP134" s="303"/>
      <c r="DQ134" s="303"/>
      <c r="DR134" s="303"/>
      <c r="DS134" s="303"/>
      <c r="DT134" s="303"/>
      <c r="DU134" s="303"/>
      <c r="DV134" s="303"/>
      <c r="DW134" s="303"/>
      <c r="DX134" s="303"/>
      <c r="DY134" s="303"/>
      <c r="DZ134" s="303"/>
      <c r="EA134" s="303"/>
      <c r="EB134" s="303"/>
      <c r="EC134" s="303"/>
      <c r="ED134" s="303"/>
      <c r="EE134" s="303"/>
      <c r="EF134" s="303"/>
      <c r="EG134" s="303"/>
      <c r="EH134" s="303"/>
      <c r="EI134" s="303"/>
      <c r="EJ134" s="303"/>
      <c r="EK134" s="303"/>
      <c r="EL134" s="303"/>
      <c r="EM134" s="303"/>
      <c r="EN134" s="303"/>
      <c r="EO134" s="303"/>
      <c r="EP134" s="303"/>
      <c r="EQ134" s="303"/>
      <c r="ER134" s="303"/>
      <c r="ES134" s="303"/>
      <c r="ET134" s="303"/>
      <c r="EU134" s="303"/>
      <c r="EV134" s="303"/>
      <c r="EW134" s="303"/>
      <c r="EX134" s="303"/>
      <c r="EY134" s="303"/>
      <c r="EZ134" s="303"/>
      <c r="FA134" s="303"/>
      <c r="FB134" s="303"/>
      <c r="FC134" s="303"/>
      <c r="FD134" s="303"/>
      <c r="FE134" s="303"/>
      <c r="FF134" s="303"/>
      <c r="FG134" s="303"/>
      <c r="FH134" s="303"/>
      <c r="FI134" s="303"/>
      <c r="FJ134" s="303"/>
      <c r="FK134" s="303"/>
      <c r="FL134" s="303"/>
      <c r="FM134" s="303"/>
      <c r="FN134" s="303"/>
      <c r="FO134" s="303"/>
      <c r="FP134" s="303"/>
      <c r="FQ134" s="303"/>
      <c r="FR134" s="303"/>
      <c r="FS134" s="303"/>
      <c r="FT134" s="303"/>
      <c r="FU134" s="303"/>
      <c r="FV134" s="303"/>
      <c r="FW134" s="303"/>
      <c r="FX134" s="303"/>
      <c r="FY134" s="303"/>
      <c r="FZ134" s="303"/>
      <c r="GA134" s="303"/>
      <c r="GB134" s="303"/>
      <c r="GC134" s="303"/>
      <c r="GD134" s="303"/>
      <c r="GE134" s="303"/>
      <c r="GF134" s="303"/>
      <c r="GG134" s="303"/>
      <c r="GH134" s="303"/>
      <c r="GI134" s="303"/>
      <c r="GJ134" s="303"/>
      <c r="GK134" s="303"/>
      <c r="GL134" s="303"/>
      <c r="GM134" s="303"/>
      <c r="GN134" s="303"/>
      <c r="GO134" s="303"/>
      <c r="GP134" s="303"/>
      <c r="GQ134" s="303"/>
      <c r="GR134" s="303"/>
      <c r="GS134" s="303"/>
      <c r="GT134" s="303"/>
      <c r="GU134" s="303"/>
      <c r="GV134" s="303"/>
      <c r="GW134" s="303"/>
      <c r="GX134" s="303"/>
      <c r="GY134" s="303"/>
      <c r="GZ134" s="303"/>
      <c r="HA134" s="303"/>
      <c r="HB134" s="303"/>
      <c r="HC134" s="303"/>
      <c r="HD134" s="303"/>
      <c r="HE134" s="303"/>
      <c r="HF134" s="303"/>
      <c r="HG134" s="303"/>
      <c r="HH134" s="303"/>
      <c r="HI134" s="303"/>
      <c r="HJ134" s="303"/>
      <c r="HK134" s="303"/>
      <c r="HL134" s="303"/>
      <c r="HM134" s="303"/>
      <c r="HN134" s="303"/>
      <c r="HO134" s="303"/>
      <c r="HP134" s="303"/>
      <c r="HQ134" s="303"/>
      <c r="HR134" s="303"/>
      <c r="HS134" s="303"/>
      <c r="HT134" s="303"/>
      <c r="HU134" s="303"/>
      <c r="HV134" s="303"/>
      <c r="HW134" s="303"/>
      <c r="HX134" s="303"/>
      <c r="HY134" s="303"/>
      <c r="HZ134" s="303"/>
      <c r="IA134" s="303"/>
      <c r="IB134" s="303"/>
    </row>
    <row r="135" spans="8:236" ht="18.75" x14ac:dyDescent="0.3">
      <c r="H135" s="228"/>
      <c r="N135" s="228"/>
      <c r="P135" s="25"/>
      <c r="Q135" s="25"/>
      <c r="S135" s="278"/>
      <c r="T135" s="318"/>
      <c r="U135" s="320"/>
      <c r="V135" s="303"/>
      <c r="W135" s="303"/>
      <c r="X135" s="303"/>
      <c r="Y135" s="303"/>
      <c r="Z135" s="303"/>
      <c r="AA135" s="303"/>
      <c r="AB135" s="303"/>
      <c r="AC135" s="303"/>
      <c r="AD135" s="303"/>
      <c r="AE135" s="303"/>
      <c r="AF135" s="303"/>
      <c r="AG135" s="303"/>
      <c r="AH135" s="303"/>
      <c r="AI135" s="303"/>
      <c r="AJ135" s="303"/>
      <c r="AK135" s="303"/>
      <c r="AL135" s="303"/>
      <c r="AM135" s="303"/>
      <c r="AN135" s="303"/>
      <c r="AO135" s="303"/>
      <c r="AP135" s="303"/>
      <c r="AQ135" s="303"/>
      <c r="AR135" s="303"/>
      <c r="AS135" s="303"/>
      <c r="AT135" s="303"/>
      <c r="AU135" s="303"/>
      <c r="AV135" s="303"/>
      <c r="AW135" s="303"/>
      <c r="AX135" s="303"/>
      <c r="AY135" s="303"/>
      <c r="AZ135" s="303"/>
      <c r="BA135" s="303"/>
      <c r="BB135" s="303"/>
      <c r="BC135" s="303"/>
      <c r="BD135" s="303"/>
      <c r="BE135" s="303"/>
      <c r="BF135" s="303"/>
      <c r="BG135" s="303"/>
      <c r="BH135" s="303"/>
      <c r="BI135" s="303"/>
      <c r="BJ135" s="303"/>
      <c r="BK135" s="303"/>
      <c r="BL135" s="303"/>
      <c r="BM135" s="303"/>
      <c r="BN135" s="303"/>
      <c r="BO135" s="303"/>
      <c r="BP135" s="303"/>
      <c r="BQ135" s="303"/>
      <c r="BR135" s="303"/>
      <c r="BS135" s="303"/>
      <c r="BT135" s="303"/>
      <c r="BU135" s="303"/>
      <c r="BV135" s="303"/>
      <c r="BW135" s="303"/>
      <c r="BX135" s="303"/>
      <c r="BY135" s="303"/>
      <c r="BZ135" s="303"/>
      <c r="CA135" s="303"/>
      <c r="CB135" s="303"/>
      <c r="CC135" s="303"/>
      <c r="CD135" s="303"/>
      <c r="CE135" s="303"/>
      <c r="CF135" s="303"/>
      <c r="CG135" s="303"/>
      <c r="CH135" s="303"/>
      <c r="CI135" s="303"/>
      <c r="CJ135" s="303"/>
      <c r="CK135" s="303"/>
      <c r="CL135" s="303"/>
      <c r="CM135" s="303"/>
      <c r="CN135" s="303"/>
      <c r="CO135" s="303"/>
      <c r="CP135" s="303"/>
      <c r="CQ135" s="303"/>
      <c r="CR135" s="303"/>
      <c r="CS135" s="303"/>
      <c r="CT135" s="303"/>
      <c r="CU135" s="303"/>
      <c r="CV135" s="303"/>
      <c r="CW135" s="303"/>
      <c r="CX135" s="303"/>
      <c r="CY135" s="303"/>
      <c r="CZ135" s="303"/>
      <c r="DA135" s="303"/>
      <c r="DB135" s="303"/>
      <c r="DC135" s="303"/>
      <c r="DD135" s="303"/>
      <c r="DE135" s="303"/>
      <c r="DF135" s="303"/>
      <c r="DG135" s="303"/>
      <c r="DH135" s="303"/>
      <c r="DI135" s="303"/>
      <c r="DJ135" s="303"/>
      <c r="DK135" s="303"/>
      <c r="DL135" s="303"/>
      <c r="DM135" s="303"/>
      <c r="DN135" s="303"/>
      <c r="DO135" s="303"/>
      <c r="DP135" s="303"/>
      <c r="DQ135" s="303"/>
      <c r="DR135" s="303"/>
      <c r="DS135" s="303"/>
      <c r="DT135" s="303"/>
      <c r="DU135" s="303"/>
      <c r="DV135" s="303"/>
      <c r="DW135" s="303"/>
      <c r="DX135" s="303"/>
      <c r="DY135" s="303"/>
      <c r="DZ135" s="303"/>
      <c r="EA135" s="303"/>
      <c r="EB135" s="303"/>
      <c r="EC135" s="303"/>
      <c r="ED135" s="303"/>
      <c r="EE135" s="303"/>
      <c r="EF135" s="303"/>
      <c r="EG135" s="303"/>
      <c r="EH135" s="303"/>
      <c r="EI135" s="303"/>
      <c r="EJ135" s="303"/>
      <c r="EK135" s="303"/>
      <c r="EL135" s="303"/>
      <c r="EM135" s="303"/>
      <c r="EN135" s="303"/>
      <c r="EO135" s="303"/>
      <c r="EP135" s="303"/>
      <c r="EQ135" s="303"/>
      <c r="ER135" s="303"/>
      <c r="ES135" s="303"/>
      <c r="ET135" s="303"/>
      <c r="EU135" s="303"/>
      <c r="EV135" s="303"/>
      <c r="EW135" s="303"/>
      <c r="EX135" s="303"/>
      <c r="EY135" s="303"/>
      <c r="EZ135" s="303"/>
      <c r="FA135" s="303"/>
      <c r="FB135" s="303"/>
      <c r="FC135" s="303"/>
      <c r="FD135" s="303"/>
      <c r="FE135" s="303"/>
      <c r="FF135" s="303"/>
      <c r="FG135" s="303"/>
      <c r="FH135" s="303"/>
      <c r="FI135" s="303"/>
      <c r="FJ135" s="303"/>
      <c r="FK135" s="303"/>
      <c r="FL135" s="303"/>
      <c r="FM135" s="303"/>
      <c r="FN135" s="303"/>
      <c r="FO135" s="303"/>
      <c r="FP135" s="303"/>
      <c r="FQ135" s="303"/>
      <c r="FR135" s="303"/>
      <c r="FS135" s="303"/>
      <c r="FT135" s="303"/>
      <c r="FU135" s="303"/>
      <c r="FV135" s="303"/>
      <c r="FW135" s="303"/>
      <c r="FX135" s="303"/>
      <c r="FY135" s="303"/>
      <c r="FZ135" s="303"/>
      <c r="GA135" s="303"/>
      <c r="GB135" s="303"/>
      <c r="GC135" s="303"/>
      <c r="GD135" s="303"/>
      <c r="GE135" s="303"/>
      <c r="GF135" s="303"/>
      <c r="GG135" s="303"/>
      <c r="GH135" s="303"/>
      <c r="GI135" s="303"/>
      <c r="GJ135" s="303"/>
      <c r="GK135" s="303"/>
      <c r="GL135" s="303"/>
      <c r="GM135" s="303"/>
      <c r="GN135" s="303"/>
      <c r="GO135" s="303"/>
      <c r="GP135" s="303"/>
      <c r="GQ135" s="303"/>
      <c r="GR135" s="303"/>
      <c r="GS135" s="303"/>
      <c r="GT135" s="303"/>
      <c r="GU135" s="303"/>
      <c r="GV135" s="303"/>
      <c r="GW135" s="303"/>
      <c r="GX135" s="303"/>
      <c r="GY135" s="303"/>
      <c r="GZ135" s="303"/>
      <c r="HA135" s="303"/>
      <c r="HB135" s="303"/>
      <c r="HC135" s="303"/>
      <c r="HD135" s="303"/>
      <c r="HE135" s="303"/>
      <c r="HF135" s="303"/>
      <c r="HG135" s="303"/>
      <c r="HH135" s="303"/>
      <c r="HI135" s="303"/>
      <c r="HJ135" s="303"/>
      <c r="HK135" s="303"/>
      <c r="HL135" s="303"/>
      <c r="HM135" s="303"/>
      <c r="HN135" s="303"/>
      <c r="HO135" s="303"/>
      <c r="HP135" s="303"/>
      <c r="HQ135" s="303"/>
      <c r="HR135" s="303"/>
      <c r="HS135" s="303"/>
      <c r="HT135" s="303"/>
      <c r="HU135" s="303"/>
      <c r="HV135" s="303"/>
      <c r="HW135" s="303"/>
      <c r="HX135" s="303"/>
      <c r="HY135" s="303"/>
      <c r="HZ135" s="303"/>
      <c r="IA135" s="303"/>
      <c r="IB135" s="303"/>
    </row>
    <row r="136" spans="8:236" ht="18.75" x14ac:dyDescent="0.3">
      <c r="H136" s="228"/>
      <c r="N136" s="228"/>
      <c r="P136" s="25"/>
      <c r="Q136" s="25"/>
      <c r="S136" s="278"/>
      <c r="T136" s="318"/>
      <c r="U136" s="304"/>
      <c r="V136" s="304"/>
      <c r="W136" s="304"/>
      <c r="X136" s="304"/>
      <c r="Y136" s="304"/>
      <c r="Z136" s="304"/>
      <c r="AA136" s="304"/>
      <c r="AB136" s="304"/>
      <c r="AC136" s="304"/>
      <c r="AD136" s="304"/>
      <c r="AE136" s="304"/>
      <c r="AF136" s="304"/>
      <c r="AG136" s="304"/>
      <c r="AH136" s="303"/>
      <c r="AI136" s="303"/>
      <c r="AJ136" s="303"/>
      <c r="AK136" s="303"/>
      <c r="AL136" s="303"/>
      <c r="AM136" s="303"/>
      <c r="AN136" s="303"/>
      <c r="AO136" s="303"/>
      <c r="AP136" s="303"/>
      <c r="AQ136" s="303"/>
      <c r="AR136" s="303"/>
      <c r="AS136" s="303"/>
      <c r="AT136" s="303"/>
      <c r="AU136" s="303"/>
      <c r="AV136" s="303"/>
      <c r="AW136" s="303"/>
      <c r="AX136" s="303"/>
      <c r="AY136" s="303"/>
      <c r="AZ136" s="303"/>
      <c r="BA136" s="303"/>
      <c r="BB136" s="303"/>
      <c r="BC136" s="303"/>
      <c r="BD136" s="303"/>
      <c r="BE136" s="303"/>
      <c r="BF136" s="303"/>
      <c r="BG136" s="303"/>
      <c r="BH136" s="303"/>
      <c r="BI136" s="303"/>
      <c r="BJ136" s="303"/>
      <c r="BK136" s="303"/>
      <c r="BL136" s="303"/>
      <c r="BM136" s="303"/>
      <c r="BN136" s="303"/>
      <c r="BO136" s="303"/>
      <c r="BP136" s="303"/>
      <c r="BQ136" s="303"/>
      <c r="BR136" s="303"/>
      <c r="BS136" s="303"/>
      <c r="BT136" s="303"/>
      <c r="BU136" s="303"/>
      <c r="BV136" s="303"/>
      <c r="BW136" s="303"/>
      <c r="BX136" s="303"/>
      <c r="BY136" s="303"/>
      <c r="BZ136" s="303"/>
      <c r="CA136" s="303"/>
      <c r="CB136" s="303"/>
      <c r="CC136" s="303"/>
      <c r="CD136" s="303"/>
      <c r="CE136" s="303"/>
      <c r="CF136" s="303"/>
      <c r="CG136" s="303"/>
      <c r="CH136" s="303"/>
      <c r="CI136" s="303"/>
      <c r="CJ136" s="303"/>
      <c r="CK136" s="303"/>
      <c r="CL136" s="303"/>
      <c r="CM136" s="303"/>
      <c r="CN136" s="303"/>
      <c r="CO136" s="303"/>
      <c r="CP136" s="303"/>
      <c r="CQ136" s="303"/>
      <c r="CR136" s="303"/>
      <c r="CS136" s="303"/>
      <c r="CT136" s="303"/>
      <c r="CU136" s="303"/>
      <c r="CV136" s="303"/>
      <c r="CW136" s="303"/>
      <c r="CX136" s="303"/>
      <c r="CY136" s="303"/>
      <c r="CZ136" s="303"/>
      <c r="DA136" s="303"/>
      <c r="DB136" s="303"/>
      <c r="DC136" s="303"/>
      <c r="DD136" s="303"/>
      <c r="DE136" s="303"/>
      <c r="DF136" s="303"/>
      <c r="DG136" s="303"/>
      <c r="DH136" s="303"/>
      <c r="DI136" s="303"/>
      <c r="DJ136" s="303"/>
      <c r="DK136" s="303"/>
      <c r="DL136" s="303"/>
      <c r="DM136" s="303"/>
      <c r="DN136" s="303"/>
      <c r="DO136" s="303"/>
      <c r="DP136" s="303"/>
      <c r="DQ136" s="303"/>
      <c r="DR136" s="303"/>
      <c r="DS136" s="303"/>
      <c r="DT136" s="303"/>
      <c r="DU136" s="303"/>
      <c r="DV136" s="303"/>
      <c r="DW136" s="303"/>
      <c r="DX136" s="303"/>
      <c r="DY136" s="303"/>
      <c r="DZ136" s="303"/>
      <c r="EA136" s="303"/>
      <c r="EB136" s="303"/>
      <c r="EC136" s="303"/>
      <c r="ED136" s="303"/>
      <c r="EE136" s="303"/>
      <c r="EF136" s="303"/>
      <c r="EG136" s="303"/>
      <c r="EH136" s="303"/>
      <c r="EI136" s="303"/>
      <c r="EJ136" s="303"/>
      <c r="EK136" s="303"/>
      <c r="EL136" s="303"/>
      <c r="EM136" s="303"/>
      <c r="EN136" s="303"/>
      <c r="EO136" s="303"/>
      <c r="EP136" s="303"/>
      <c r="EQ136" s="303"/>
      <c r="ER136" s="303"/>
      <c r="ES136" s="303"/>
      <c r="ET136" s="303"/>
      <c r="EU136" s="303"/>
      <c r="EV136" s="303"/>
      <c r="EW136" s="303"/>
      <c r="EX136" s="303"/>
      <c r="EY136" s="303"/>
      <c r="EZ136" s="303"/>
      <c r="FA136" s="303"/>
      <c r="FB136" s="303"/>
      <c r="FC136" s="303"/>
      <c r="FD136" s="303"/>
      <c r="FE136" s="303"/>
      <c r="FF136" s="303"/>
      <c r="FG136" s="303"/>
      <c r="FH136" s="303"/>
      <c r="FI136" s="303"/>
      <c r="FJ136" s="303"/>
      <c r="FK136" s="303"/>
      <c r="FL136" s="303"/>
      <c r="FM136" s="303"/>
      <c r="FN136" s="303"/>
      <c r="FO136" s="303"/>
      <c r="FP136" s="303"/>
      <c r="FQ136" s="303"/>
      <c r="FR136" s="303"/>
      <c r="FS136" s="303"/>
      <c r="FT136" s="303"/>
      <c r="FU136" s="303"/>
      <c r="FV136" s="303"/>
      <c r="FW136" s="303"/>
      <c r="FX136" s="303"/>
      <c r="FY136" s="303"/>
      <c r="FZ136" s="303"/>
      <c r="GA136" s="303"/>
      <c r="GB136" s="303"/>
      <c r="GC136" s="303"/>
      <c r="GD136" s="303"/>
      <c r="GE136" s="303"/>
      <c r="GF136" s="303"/>
      <c r="GG136" s="303"/>
      <c r="GH136" s="303"/>
      <c r="GI136" s="303"/>
      <c r="GJ136" s="303"/>
      <c r="GK136" s="303"/>
      <c r="GL136" s="303"/>
      <c r="GM136" s="303"/>
      <c r="GN136" s="303"/>
      <c r="GO136" s="303"/>
      <c r="GP136" s="303"/>
      <c r="GQ136" s="303"/>
      <c r="GR136" s="303"/>
      <c r="GS136" s="303"/>
      <c r="GT136" s="303"/>
      <c r="GU136" s="303"/>
      <c r="GV136" s="303"/>
      <c r="GW136" s="303"/>
      <c r="GX136" s="303"/>
      <c r="GY136" s="303"/>
      <c r="GZ136" s="303"/>
      <c r="HA136" s="303"/>
      <c r="HB136" s="303"/>
      <c r="HC136" s="303"/>
      <c r="HD136" s="303"/>
      <c r="HE136" s="303"/>
      <c r="HF136" s="303"/>
      <c r="HG136" s="303"/>
      <c r="HH136" s="303"/>
      <c r="HI136" s="303"/>
      <c r="HJ136" s="303"/>
      <c r="HK136" s="303"/>
      <c r="HL136" s="303"/>
      <c r="HM136" s="303"/>
      <c r="HN136" s="303"/>
      <c r="HO136" s="303"/>
      <c r="HP136" s="303"/>
      <c r="HQ136" s="303"/>
      <c r="HR136" s="303"/>
      <c r="HS136" s="303"/>
      <c r="HT136" s="303"/>
      <c r="HU136" s="303"/>
      <c r="HV136" s="303"/>
      <c r="HW136" s="303"/>
      <c r="HX136" s="303"/>
      <c r="HY136" s="303"/>
      <c r="HZ136" s="303"/>
      <c r="IA136" s="303"/>
      <c r="IB136" s="303"/>
    </row>
    <row r="137" spans="8:236" ht="18.75" x14ac:dyDescent="0.3">
      <c r="H137" s="228"/>
      <c r="N137" s="228"/>
      <c r="P137" s="25"/>
      <c r="Q137" s="25"/>
      <c r="S137" s="278"/>
      <c r="T137" s="318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  <c r="AN137" s="321"/>
      <c r="AO137" s="321"/>
      <c r="AP137" s="321"/>
      <c r="AQ137" s="321"/>
      <c r="AR137" s="321"/>
      <c r="AS137" s="321"/>
      <c r="AT137" s="321"/>
      <c r="AU137" s="321"/>
      <c r="AV137" s="321"/>
      <c r="AW137" s="321"/>
      <c r="AX137" s="321"/>
      <c r="AY137" s="321"/>
      <c r="AZ137" s="321"/>
      <c r="BA137" s="321"/>
      <c r="BB137" s="321"/>
      <c r="BC137" s="321"/>
      <c r="BD137" s="321"/>
      <c r="BE137" s="321"/>
      <c r="BF137" s="321"/>
      <c r="BG137" s="321"/>
      <c r="BH137" s="321"/>
      <c r="BI137" s="321"/>
      <c r="BJ137" s="321"/>
      <c r="BK137" s="321"/>
      <c r="BL137" s="321"/>
      <c r="BM137" s="321"/>
      <c r="BN137" s="321"/>
      <c r="BO137" s="321"/>
      <c r="BP137" s="321"/>
      <c r="BQ137" s="321"/>
      <c r="BR137" s="321"/>
      <c r="BS137" s="321"/>
      <c r="BT137" s="321"/>
      <c r="BU137" s="321"/>
      <c r="BV137" s="321"/>
      <c r="BW137" s="321"/>
      <c r="BX137" s="321"/>
      <c r="BY137" s="321"/>
      <c r="BZ137" s="321"/>
      <c r="CA137" s="321"/>
      <c r="CB137" s="321"/>
      <c r="CC137" s="321"/>
      <c r="CD137" s="321"/>
      <c r="CE137" s="321"/>
      <c r="CF137" s="321"/>
      <c r="CG137" s="321"/>
      <c r="CH137" s="321"/>
      <c r="CI137" s="321"/>
      <c r="CJ137" s="321"/>
      <c r="CK137" s="321"/>
      <c r="CL137" s="321"/>
      <c r="CM137" s="321"/>
      <c r="CN137" s="321"/>
      <c r="CO137" s="321"/>
      <c r="CP137" s="321"/>
      <c r="CQ137" s="321"/>
      <c r="CR137" s="321"/>
      <c r="CS137" s="321"/>
      <c r="CT137" s="321"/>
      <c r="CU137" s="321"/>
      <c r="CV137" s="321"/>
      <c r="CW137" s="321"/>
      <c r="CX137" s="321"/>
      <c r="CY137" s="321"/>
      <c r="CZ137" s="321"/>
      <c r="DA137" s="321"/>
      <c r="DB137" s="321"/>
      <c r="DC137" s="321"/>
      <c r="DD137" s="321"/>
      <c r="DE137" s="321"/>
      <c r="DF137" s="321"/>
      <c r="DG137" s="321"/>
      <c r="DH137" s="303"/>
      <c r="DI137" s="303"/>
      <c r="DJ137" s="303"/>
      <c r="DK137" s="303"/>
      <c r="DL137" s="303"/>
      <c r="DM137" s="303"/>
      <c r="DN137" s="303"/>
      <c r="DO137" s="303"/>
      <c r="DP137" s="303"/>
      <c r="DQ137" s="303"/>
      <c r="DR137" s="303"/>
      <c r="DS137" s="303"/>
      <c r="DT137" s="303"/>
      <c r="DU137" s="303"/>
      <c r="DV137" s="303"/>
      <c r="DW137" s="303"/>
      <c r="DX137" s="303"/>
      <c r="DY137" s="303"/>
      <c r="DZ137" s="303"/>
      <c r="EA137" s="303"/>
      <c r="EB137" s="303"/>
      <c r="EC137" s="303"/>
      <c r="ED137" s="303"/>
      <c r="EE137" s="303"/>
      <c r="EF137" s="303"/>
      <c r="EG137" s="303"/>
      <c r="EH137" s="303"/>
      <c r="EI137" s="303"/>
      <c r="EJ137" s="303"/>
      <c r="EK137" s="303"/>
      <c r="EL137" s="303"/>
      <c r="EM137" s="303"/>
      <c r="EN137" s="303"/>
      <c r="EO137" s="303"/>
      <c r="EP137" s="303"/>
      <c r="EQ137" s="303"/>
      <c r="ER137" s="303"/>
      <c r="ES137" s="303"/>
      <c r="ET137" s="303"/>
      <c r="EU137" s="303"/>
      <c r="EV137" s="303"/>
      <c r="EW137" s="303"/>
      <c r="EX137" s="303"/>
      <c r="EY137" s="303"/>
      <c r="EZ137" s="303"/>
      <c r="FA137" s="303"/>
      <c r="FB137" s="303"/>
      <c r="FC137" s="303"/>
      <c r="FD137" s="303"/>
      <c r="FE137" s="303"/>
      <c r="FF137" s="303"/>
      <c r="FG137" s="303"/>
      <c r="FH137" s="303"/>
      <c r="FI137" s="303"/>
      <c r="FJ137" s="303"/>
      <c r="FK137" s="303"/>
      <c r="FL137" s="303"/>
      <c r="FM137" s="303"/>
      <c r="FN137" s="303"/>
      <c r="FO137" s="303"/>
      <c r="FP137" s="303"/>
      <c r="FQ137" s="303"/>
      <c r="FR137" s="303"/>
      <c r="FS137" s="303"/>
      <c r="FT137" s="303"/>
      <c r="FU137" s="303"/>
      <c r="FV137" s="303"/>
      <c r="FW137" s="303"/>
      <c r="FX137" s="303"/>
      <c r="FY137" s="303"/>
      <c r="FZ137" s="303"/>
      <c r="GA137" s="303"/>
      <c r="GB137" s="303"/>
      <c r="GC137" s="303"/>
      <c r="GD137" s="303"/>
      <c r="GE137" s="303"/>
      <c r="GF137" s="303"/>
      <c r="GG137" s="303"/>
      <c r="GH137" s="303"/>
      <c r="GI137" s="303"/>
      <c r="GJ137" s="303"/>
      <c r="GK137" s="303"/>
      <c r="GL137" s="303"/>
      <c r="GM137" s="303"/>
      <c r="GN137" s="303"/>
      <c r="GO137" s="303"/>
      <c r="GP137" s="303"/>
      <c r="GQ137" s="303"/>
      <c r="GR137" s="303"/>
      <c r="GS137" s="303"/>
      <c r="GT137" s="303"/>
      <c r="GU137" s="303"/>
      <c r="GV137" s="303"/>
      <c r="GW137" s="303"/>
      <c r="GX137" s="303"/>
      <c r="GY137" s="303"/>
      <c r="GZ137" s="303"/>
      <c r="HA137" s="303"/>
      <c r="HB137" s="303"/>
      <c r="HC137" s="303"/>
      <c r="HD137" s="303"/>
      <c r="HE137" s="303"/>
      <c r="HF137" s="303"/>
      <c r="HG137" s="303"/>
      <c r="HH137" s="303"/>
      <c r="HI137" s="303"/>
      <c r="HJ137" s="303"/>
      <c r="HK137" s="303"/>
      <c r="HL137" s="303"/>
      <c r="HM137" s="303"/>
      <c r="HN137" s="303"/>
      <c r="HO137" s="303"/>
      <c r="HP137" s="303"/>
      <c r="HQ137" s="303"/>
      <c r="HR137" s="303"/>
      <c r="HS137" s="303"/>
      <c r="HT137" s="303"/>
      <c r="HU137" s="303"/>
      <c r="HV137" s="303"/>
      <c r="HW137" s="303"/>
      <c r="HX137" s="303"/>
      <c r="HY137" s="303"/>
      <c r="HZ137" s="303"/>
      <c r="IA137" s="303"/>
      <c r="IB137" s="303"/>
    </row>
    <row r="138" spans="8:236" ht="18.75" x14ac:dyDescent="0.3">
      <c r="H138" s="228"/>
      <c r="N138" s="228"/>
      <c r="P138" s="25"/>
      <c r="Q138" s="25"/>
      <c r="S138" s="278"/>
      <c r="T138" s="318"/>
      <c r="U138" s="303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  <c r="AN138" s="321"/>
      <c r="AO138" s="321"/>
      <c r="AP138" s="321"/>
      <c r="AQ138" s="321"/>
      <c r="AR138" s="321"/>
      <c r="AS138" s="321"/>
      <c r="AT138" s="321"/>
      <c r="AU138" s="321"/>
      <c r="AV138" s="321"/>
      <c r="AW138" s="321"/>
      <c r="AX138" s="321"/>
      <c r="AY138" s="321"/>
      <c r="AZ138" s="321"/>
      <c r="BA138" s="321"/>
      <c r="BB138" s="321"/>
      <c r="BC138" s="321"/>
      <c r="BD138" s="321"/>
      <c r="BE138" s="321"/>
      <c r="BF138" s="321"/>
      <c r="BG138" s="321"/>
      <c r="BH138" s="321"/>
      <c r="BI138" s="321"/>
      <c r="BJ138" s="321"/>
      <c r="BK138" s="321"/>
      <c r="BL138" s="321"/>
      <c r="BM138" s="321"/>
      <c r="BN138" s="321"/>
      <c r="BO138" s="321"/>
      <c r="BP138" s="321"/>
      <c r="BQ138" s="321"/>
      <c r="BR138" s="321"/>
      <c r="BS138" s="321"/>
      <c r="BT138" s="321"/>
      <c r="BU138" s="321"/>
      <c r="BV138" s="321"/>
      <c r="BW138" s="321"/>
      <c r="BX138" s="321"/>
      <c r="BY138" s="321"/>
      <c r="BZ138" s="321"/>
      <c r="CA138" s="321"/>
      <c r="CB138" s="321"/>
      <c r="CC138" s="321"/>
      <c r="CD138" s="321"/>
      <c r="CE138" s="321"/>
      <c r="CF138" s="321"/>
      <c r="CG138" s="321"/>
      <c r="CH138" s="321"/>
      <c r="CI138" s="321"/>
      <c r="CJ138" s="321"/>
      <c r="CK138" s="321"/>
      <c r="CL138" s="321"/>
      <c r="CM138" s="321"/>
      <c r="CN138" s="321"/>
      <c r="CO138" s="321"/>
      <c r="CP138" s="321"/>
      <c r="CQ138" s="321"/>
      <c r="CR138" s="321"/>
      <c r="CS138" s="321"/>
      <c r="CT138" s="321"/>
      <c r="CU138" s="321"/>
      <c r="CV138" s="321"/>
      <c r="CW138" s="321"/>
      <c r="CX138" s="321"/>
      <c r="CY138" s="321"/>
      <c r="CZ138" s="321"/>
      <c r="DA138" s="321"/>
      <c r="DB138" s="321"/>
      <c r="DC138" s="321"/>
      <c r="DD138" s="321"/>
      <c r="DE138" s="321"/>
      <c r="DF138" s="321"/>
      <c r="DG138" s="321"/>
      <c r="DH138" s="303"/>
      <c r="DI138" s="303"/>
      <c r="DJ138" s="303"/>
      <c r="DK138" s="303"/>
      <c r="DL138" s="303"/>
      <c r="DM138" s="303"/>
      <c r="DN138" s="303"/>
      <c r="DO138" s="303"/>
      <c r="DP138" s="303"/>
      <c r="DQ138" s="303"/>
      <c r="DR138" s="303"/>
      <c r="DS138" s="303"/>
      <c r="DT138" s="303"/>
      <c r="DU138" s="303"/>
      <c r="DV138" s="303"/>
      <c r="DW138" s="303"/>
      <c r="DX138" s="303"/>
      <c r="DY138" s="303"/>
      <c r="DZ138" s="303"/>
      <c r="EA138" s="303"/>
      <c r="EB138" s="303"/>
      <c r="EC138" s="303"/>
      <c r="ED138" s="303"/>
      <c r="EE138" s="303"/>
      <c r="EF138" s="303"/>
      <c r="EG138" s="303"/>
      <c r="EH138" s="303"/>
      <c r="EI138" s="303"/>
      <c r="EJ138" s="303"/>
      <c r="EK138" s="303"/>
      <c r="EL138" s="303"/>
      <c r="EM138" s="303"/>
      <c r="EN138" s="303"/>
      <c r="EO138" s="303"/>
      <c r="EP138" s="303"/>
      <c r="EQ138" s="303"/>
      <c r="ER138" s="303"/>
      <c r="ES138" s="303"/>
      <c r="ET138" s="303"/>
      <c r="EU138" s="303"/>
      <c r="EV138" s="303"/>
      <c r="EW138" s="303"/>
      <c r="EX138" s="303"/>
      <c r="EY138" s="303"/>
      <c r="EZ138" s="303"/>
      <c r="FA138" s="303"/>
      <c r="FB138" s="303"/>
      <c r="FC138" s="303"/>
      <c r="FD138" s="303"/>
      <c r="FE138" s="303"/>
      <c r="FF138" s="303"/>
      <c r="FG138" s="303"/>
      <c r="FH138" s="303"/>
      <c r="FI138" s="303"/>
      <c r="FJ138" s="303"/>
      <c r="FK138" s="303"/>
      <c r="FL138" s="303"/>
      <c r="FM138" s="303"/>
      <c r="FN138" s="303"/>
      <c r="FO138" s="303"/>
      <c r="FP138" s="303"/>
      <c r="FQ138" s="303"/>
      <c r="FR138" s="303"/>
      <c r="FS138" s="303"/>
      <c r="FT138" s="303"/>
      <c r="FU138" s="303"/>
      <c r="FV138" s="303"/>
      <c r="FW138" s="303"/>
      <c r="FX138" s="303"/>
      <c r="FY138" s="303"/>
      <c r="FZ138" s="303"/>
      <c r="GA138" s="303"/>
      <c r="GB138" s="303"/>
      <c r="GC138" s="303"/>
      <c r="GD138" s="303"/>
      <c r="GE138" s="303"/>
      <c r="GF138" s="303"/>
      <c r="GG138" s="303"/>
      <c r="GH138" s="303"/>
      <c r="GI138" s="303"/>
      <c r="GJ138" s="303"/>
      <c r="GK138" s="303"/>
      <c r="GL138" s="303"/>
      <c r="GM138" s="303"/>
      <c r="GN138" s="303"/>
      <c r="GO138" s="303"/>
      <c r="GP138" s="303"/>
      <c r="GQ138" s="303"/>
      <c r="GR138" s="303"/>
      <c r="GS138" s="303"/>
      <c r="GT138" s="303"/>
      <c r="GU138" s="303"/>
      <c r="GV138" s="303"/>
      <c r="GW138" s="303"/>
      <c r="GX138" s="303"/>
      <c r="GY138" s="303"/>
      <c r="GZ138" s="303"/>
      <c r="HA138" s="303"/>
      <c r="HB138" s="303"/>
      <c r="HC138" s="303"/>
      <c r="HD138" s="303"/>
      <c r="HE138" s="303"/>
      <c r="HF138" s="303"/>
      <c r="HG138" s="303"/>
      <c r="HH138" s="303"/>
      <c r="HI138" s="303"/>
      <c r="HJ138" s="303"/>
      <c r="HK138" s="303"/>
      <c r="HL138" s="303"/>
      <c r="HM138" s="303"/>
      <c r="HN138" s="303"/>
      <c r="HO138" s="303"/>
      <c r="HP138" s="303"/>
      <c r="HQ138" s="303"/>
      <c r="HR138" s="303"/>
      <c r="HS138" s="303"/>
      <c r="HT138" s="303"/>
      <c r="HU138" s="303"/>
      <c r="HV138" s="303"/>
      <c r="HW138" s="303"/>
      <c r="HX138" s="303"/>
      <c r="HY138" s="303"/>
      <c r="HZ138" s="303"/>
      <c r="IA138" s="303"/>
      <c r="IB138" s="303"/>
    </row>
    <row r="139" spans="8:236" ht="18.75" x14ac:dyDescent="0.3">
      <c r="H139" s="228"/>
      <c r="N139" s="228"/>
      <c r="P139" s="25"/>
      <c r="Q139" s="25"/>
      <c r="S139" s="278"/>
      <c r="T139" s="318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04"/>
      <c r="AE139" s="304"/>
      <c r="AF139" s="304"/>
      <c r="AG139" s="304"/>
      <c r="AH139" s="304"/>
      <c r="AI139" s="304"/>
      <c r="AJ139" s="304"/>
      <c r="AK139" s="304"/>
      <c r="AL139" s="304"/>
      <c r="AM139" s="304"/>
      <c r="AN139" s="304"/>
      <c r="AO139" s="304"/>
      <c r="AP139" s="304"/>
      <c r="AQ139" s="304"/>
      <c r="AR139" s="304"/>
      <c r="AS139" s="304"/>
      <c r="AT139" s="304"/>
      <c r="AU139" s="304"/>
      <c r="AV139" s="304"/>
      <c r="AW139" s="304"/>
      <c r="AX139" s="304"/>
      <c r="AY139" s="304"/>
      <c r="AZ139" s="304"/>
      <c r="BA139" s="304"/>
      <c r="BB139" s="304"/>
      <c r="BC139" s="304"/>
      <c r="BD139" s="304"/>
      <c r="BE139" s="304"/>
      <c r="BF139" s="304"/>
      <c r="BG139" s="304"/>
      <c r="BH139" s="304"/>
      <c r="BI139" s="304"/>
      <c r="BJ139" s="304"/>
      <c r="BK139" s="304"/>
      <c r="BL139" s="304"/>
      <c r="BM139" s="304"/>
      <c r="BN139" s="304"/>
      <c r="BO139" s="304"/>
      <c r="BP139" s="304"/>
      <c r="BQ139" s="304"/>
      <c r="BR139" s="304"/>
      <c r="BS139" s="304"/>
      <c r="BT139" s="304"/>
      <c r="BU139" s="304"/>
      <c r="BV139" s="304"/>
      <c r="BW139" s="304"/>
      <c r="BX139" s="304"/>
      <c r="BY139" s="304"/>
      <c r="BZ139" s="304"/>
      <c r="CA139" s="304"/>
      <c r="CB139" s="304"/>
      <c r="CC139" s="304"/>
      <c r="CD139" s="304"/>
      <c r="CE139" s="304"/>
      <c r="CF139" s="304"/>
      <c r="CG139" s="304"/>
      <c r="CH139" s="304"/>
      <c r="CI139" s="304"/>
      <c r="CJ139" s="304"/>
      <c r="CK139" s="304"/>
      <c r="CL139" s="304"/>
      <c r="CM139" s="304"/>
      <c r="CN139" s="304"/>
      <c r="CO139" s="304"/>
      <c r="CP139" s="304"/>
      <c r="CQ139" s="304"/>
      <c r="CR139" s="304"/>
      <c r="CS139" s="304"/>
      <c r="CT139" s="304"/>
      <c r="CU139" s="304"/>
      <c r="CV139" s="304"/>
      <c r="CW139" s="304"/>
      <c r="CX139" s="304"/>
      <c r="CY139" s="304"/>
      <c r="CZ139" s="304"/>
      <c r="DA139" s="304"/>
      <c r="DB139" s="304"/>
      <c r="DC139" s="304"/>
      <c r="DD139" s="304"/>
      <c r="DE139" s="304"/>
      <c r="DF139" s="304"/>
      <c r="DG139" s="304"/>
      <c r="DH139" s="304"/>
      <c r="DI139" s="304"/>
      <c r="DJ139" s="304"/>
      <c r="DK139" s="304"/>
      <c r="DL139" s="304"/>
      <c r="DM139" s="304"/>
      <c r="DN139" s="304"/>
      <c r="DO139" s="304"/>
      <c r="DP139" s="304"/>
      <c r="DQ139" s="304"/>
      <c r="DR139" s="304"/>
      <c r="DS139" s="304"/>
      <c r="DT139" s="304"/>
      <c r="DU139" s="304"/>
      <c r="DV139" s="304"/>
      <c r="DW139" s="304"/>
      <c r="DX139" s="304"/>
      <c r="DY139" s="304"/>
      <c r="DZ139" s="304"/>
      <c r="EA139" s="304"/>
      <c r="EB139" s="304"/>
      <c r="EC139" s="304"/>
      <c r="ED139" s="304"/>
      <c r="EE139" s="304"/>
      <c r="EF139" s="304"/>
      <c r="EG139" s="304"/>
      <c r="EH139" s="304"/>
      <c r="EI139" s="304"/>
      <c r="EJ139" s="304"/>
      <c r="EK139" s="304"/>
      <c r="EL139" s="304"/>
      <c r="EM139" s="304"/>
      <c r="EN139" s="304"/>
      <c r="EO139" s="304"/>
      <c r="EP139" s="304"/>
      <c r="EQ139" s="304"/>
      <c r="ER139" s="304"/>
      <c r="ES139" s="304"/>
      <c r="ET139" s="304"/>
      <c r="EU139" s="304"/>
      <c r="EV139" s="304"/>
      <c r="EW139" s="304"/>
      <c r="EX139" s="304"/>
      <c r="EY139" s="304"/>
      <c r="EZ139" s="304"/>
      <c r="FA139" s="304"/>
      <c r="FB139" s="304"/>
      <c r="FC139" s="304"/>
      <c r="FD139" s="304"/>
      <c r="FE139" s="304"/>
      <c r="FF139" s="304"/>
      <c r="FG139" s="304"/>
      <c r="FH139" s="304"/>
      <c r="FI139" s="304"/>
      <c r="FJ139" s="304"/>
      <c r="FK139" s="304"/>
      <c r="FL139" s="304"/>
      <c r="FM139" s="304"/>
      <c r="FN139" s="304"/>
      <c r="FO139" s="304"/>
      <c r="FP139" s="304"/>
      <c r="FQ139" s="304"/>
      <c r="FR139" s="304"/>
      <c r="FS139" s="304"/>
      <c r="FT139" s="304"/>
      <c r="FU139" s="304"/>
      <c r="FV139" s="304"/>
      <c r="FW139" s="304"/>
      <c r="FX139" s="304"/>
      <c r="FY139" s="304"/>
      <c r="FZ139" s="304"/>
      <c r="GA139" s="304"/>
      <c r="GB139" s="304"/>
      <c r="GC139" s="304"/>
      <c r="GD139" s="304"/>
      <c r="GE139" s="304"/>
      <c r="GF139" s="304"/>
      <c r="GG139" s="304"/>
      <c r="GH139" s="304"/>
      <c r="GI139" s="304"/>
      <c r="GJ139" s="304"/>
      <c r="GK139" s="304"/>
      <c r="GL139" s="304"/>
      <c r="GM139" s="304"/>
      <c r="GN139" s="304"/>
      <c r="GO139" s="304"/>
      <c r="GP139" s="304"/>
      <c r="GQ139" s="304"/>
      <c r="GR139" s="304"/>
      <c r="GS139" s="304"/>
      <c r="GT139" s="304"/>
      <c r="GU139" s="304"/>
      <c r="GV139" s="304"/>
      <c r="GW139" s="304"/>
      <c r="GX139" s="304"/>
      <c r="GY139" s="304"/>
      <c r="GZ139" s="304"/>
      <c r="HA139" s="304"/>
      <c r="HB139" s="304"/>
      <c r="HC139" s="304"/>
      <c r="HD139" s="304"/>
      <c r="HE139" s="304"/>
      <c r="HF139" s="304"/>
      <c r="HG139" s="304"/>
      <c r="HH139" s="304"/>
      <c r="HI139" s="304"/>
      <c r="HJ139" s="304"/>
      <c r="HK139" s="304"/>
      <c r="HL139" s="304"/>
      <c r="HM139" s="304"/>
      <c r="HN139" s="304"/>
      <c r="HO139" s="304"/>
      <c r="HP139" s="304"/>
      <c r="HQ139" s="304"/>
      <c r="HR139" s="304"/>
      <c r="HS139" s="304"/>
      <c r="HT139" s="304"/>
      <c r="HU139" s="304"/>
      <c r="HV139" s="304"/>
      <c r="HW139" s="304"/>
      <c r="HX139" s="304"/>
      <c r="HY139" s="304"/>
      <c r="HZ139" s="304"/>
      <c r="IA139" s="304"/>
      <c r="IB139" s="304"/>
    </row>
    <row r="140" spans="8:236" ht="18.75" x14ac:dyDescent="0.3">
      <c r="H140" s="228"/>
      <c r="I140" s="25"/>
      <c r="J140" s="25"/>
      <c r="K140" s="25"/>
      <c r="L140" s="25"/>
      <c r="M140" s="25"/>
      <c r="N140" s="228"/>
      <c r="O140" s="25"/>
      <c r="P140" s="25"/>
      <c r="Q140" s="25"/>
      <c r="S140" s="278"/>
      <c r="T140" s="318"/>
      <c r="U140" s="322"/>
      <c r="V140" s="303"/>
      <c r="W140" s="303"/>
      <c r="X140" s="303"/>
      <c r="Y140" s="303"/>
      <c r="Z140" s="303"/>
      <c r="AA140" s="303"/>
      <c r="AB140" s="303"/>
      <c r="AC140" s="303"/>
      <c r="AD140" s="303"/>
      <c r="AE140" s="303"/>
      <c r="AF140" s="303"/>
      <c r="AG140" s="303"/>
      <c r="AH140" s="303"/>
      <c r="AI140" s="303"/>
      <c r="AJ140" s="303"/>
      <c r="AK140" s="303"/>
      <c r="AL140" s="303"/>
      <c r="AM140" s="303"/>
      <c r="AN140" s="303"/>
      <c r="AO140" s="303"/>
      <c r="AP140" s="303"/>
      <c r="AQ140" s="303"/>
      <c r="AR140" s="303"/>
      <c r="AS140" s="303"/>
      <c r="AT140" s="303"/>
      <c r="AU140" s="303"/>
      <c r="AV140" s="303"/>
      <c r="AW140" s="303"/>
      <c r="AX140" s="303"/>
      <c r="AY140" s="303"/>
      <c r="AZ140" s="303"/>
      <c r="BA140" s="303"/>
      <c r="BB140" s="303"/>
      <c r="BC140" s="303"/>
      <c r="BD140" s="303"/>
      <c r="BE140" s="303"/>
      <c r="BF140" s="303"/>
      <c r="BG140" s="303"/>
      <c r="BH140" s="303"/>
      <c r="BI140" s="303"/>
      <c r="BJ140" s="303"/>
      <c r="BK140" s="303"/>
      <c r="BL140" s="303"/>
      <c r="BM140" s="303"/>
      <c r="BN140" s="303"/>
      <c r="BO140" s="303"/>
      <c r="BP140" s="303"/>
      <c r="BQ140" s="303"/>
      <c r="BR140" s="303"/>
      <c r="BS140" s="303"/>
      <c r="BT140" s="303"/>
      <c r="BU140" s="303"/>
      <c r="BV140" s="303"/>
      <c r="BW140" s="303"/>
      <c r="BX140" s="303"/>
      <c r="BY140" s="303"/>
      <c r="BZ140" s="303"/>
      <c r="CA140" s="303"/>
      <c r="CB140" s="303"/>
      <c r="CC140" s="303"/>
      <c r="CD140" s="303"/>
      <c r="CE140" s="303"/>
      <c r="CF140" s="303"/>
      <c r="CG140" s="303"/>
      <c r="CH140" s="303"/>
      <c r="CI140" s="303"/>
      <c r="CJ140" s="303"/>
      <c r="CK140" s="303"/>
      <c r="CL140" s="303"/>
      <c r="CM140" s="303"/>
      <c r="CN140" s="303"/>
      <c r="CO140" s="303"/>
      <c r="CP140" s="303"/>
      <c r="CQ140" s="303"/>
      <c r="CR140" s="303"/>
      <c r="CS140" s="303"/>
      <c r="CT140" s="303"/>
      <c r="CU140" s="303"/>
      <c r="CV140" s="303"/>
      <c r="CW140" s="303"/>
      <c r="CX140" s="303"/>
      <c r="CY140" s="303"/>
      <c r="CZ140" s="303"/>
      <c r="DA140" s="303"/>
      <c r="DB140" s="303"/>
      <c r="DC140" s="303"/>
      <c r="DD140" s="303"/>
      <c r="DE140" s="303"/>
      <c r="DF140" s="303"/>
      <c r="DG140" s="303"/>
      <c r="DH140" s="303"/>
      <c r="DI140" s="303"/>
      <c r="DJ140" s="303"/>
      <c r="DK140" s="303"/>
      <c r="DL140" s="303"/>
      <c r="DM140" s="303"/>
      <c r="DN140" s="303"/>
      <c r="DO140" s="303"/>
      <c r="DP140" s="303"/>
      <c r="DQ140" s="303"/>
      <c r="DR140" s="303"/>
      <c r="DS140" s="303"/>
      <c r="DT140" s="303"/>
      <c r="DU140" s="303"/>
      <c r="DV140" s="303"/>
      <c r="DW140" s="303"/>
      <c r="DX140" s="303"/>
      <c r="DY140" s="303"/>
      <c r="DZ140" s="303"/>
      <c r="EA140" s="303"/>
      <c r="EB140" s="303"/>
      <c r="EC140" s="303"/>
      <c r="ED140" s="303"/>
      <c r="EE140" s="303"/>
      <c r="EF140" s="303"/>
      <c r="EG140" s="303"/>
      <c r="EH140" s="303"/>
      <c r="EI140" s="303"/>
      <c r="EJ140" s="303"/>
      <c r="EK140" s="303"/>
      <c r="EL140" s="303"/>
      <c r="EM140" s="303"/>
      <c r="EN140" s="303"/>
      <c r="EO140" s="303"/>
      <c r="EP140" s="303"/>
      <c r="EQ140" s="303"/>
      <c r="ER140" s="303"/>
      <c r="ES140" s="303"/>
      <c r="ET140" s="303"/>
      <c r="EU140" s="303"/>
      <c r="EV140" s="303"/>
      <c r="EW140" s="303"/>
      <c r="EX140" s="303"/>
      <c r="EY140" s="303"/>
      <c r="EZ140" s="303"/>
      <c r="FA140" s="303"/>
      <c r="FB140" s="303"/>
      <c r="FC140" s="303"/>
      <c r="FD140" s="303"/>
      <c r="FE140" s="303"/>
      <c r="FF140" s="303"/>
      <c r="FG140" s="303"/>
      <c r="FH140" s="303"/>
      <c r="FI140" s="303"/>
      <c r="FJ140" s="303"/>
      <c r="FK140" s="303"/>
      <c r="FL140" s="303"/>
      <c r="FM140" s="303"/>
      <c r="FN140" s="303"/>
      <c r="FO140" s="303"/>
      <c r="FP140" s="303"/>
      <c r="FQ140" s="303"/>
      <c r="FR140" s="303"/>
      <c r="FS140" s="303"/>
      <c r="FT140" s="303"/>
      <c r="FU140" s="303"/>
      <c r="FV140" s="303"/>
      <c r="FW140" s="303"/>
      <c r="FX140" s="303"/>
      <c r="FY140" s="303"/>
      <c r="FZ140" s="303"/>
      <c r="GA140" s="303"/>
      <c r="GB140" s="303"/>
      <c r="GC140" s="303"/>
      <c r="GD140" s="303"/>
      <c r="GE140" s="303"/>
      <c r="GF140" s="303"/>
      <c r="GG140" s="303"/>
      <c r="GH140" s="303"/>
      <c r="GI140" s="303"/>
      <c r="GJ140" s="303"/>
      <c r="GK140" s="303"/>
      <c r="GL140" s="303"/>
      <c r="GM140" s="303"/>
      <c r="GN140" s="303"/>
      <c r="GO140" s="303"/>
      <c r="GP140" s="303"/>
      <c r="GQ140" s="303"/>
      <c r="GR140" s="303"/>
      <c r="GS140" s="303"/>
      <c r="GT140" s="303"/>
      <c r="GU140" s="303"/>
      <c r="GV140" s="303"/>
      <c r="GW140" s="303"/>
      <c r="GX140" s="303"/>
      <c r="GY140" s="303"/>
      <c r="GZ140" s="303"/>
      <c r="HA140" s="303"/>
      <c r="HB140" s="303"/>
      <c r="HC140" s="303"/>
      <c r="HD140" s="303"/>
      <c r="HE140" s="303"/>
      <c r="HF140" s="303"/>
      <c r="HG140" s="303"/>
      <c r="HH140" s="303"/>
      <c r="HI140" s="303"/>
      <c r="HJ140" s="303"/>
      <c r="HK140" s="303"/>
      <c r="HL140" s="303"/>
      <c r="HM140" s="303"/>
      <c r="HN140" s="303"/>
      <c r="HO140" s="303"/>
      <c r="HP140" s="303"/>
      <c r="HQ140" s="303"/>
      <c r="HR140" s="303"/>
      <c r="HS140" s="303"/>
      <c r="HT140" s="303"/>
      <c r="HU140" s="303"/>
      <c r="HV140" s="303"/>
      <c r="HW140" s="303"/>
      <c r="HX140" s="303"/>
      <c r="HY140" s="303"/>
      <c r="HZ140" s="303"/>
      <c r="IA140" s="303"/>
      <c r="IB140" s="303"/>
    </row>
    <row r="141" spans="8:236" x14ac:dyDescent="0.25">
      <c r="S141" s="278"/>
      <c r="T141" s="318"/>
      <c r="U141" s="322"/>
      <c r="V141" s="303"/>
      <c r="W141" s="303"/>
      <c r="X141" s="303"/>
      <c r="Y141" s="303"/>
      <c r="Z141" s="303"/>
      <c r="AA141" s="303"/>
      <c r="AB141" s="303"/>
      <c r="AC141" s="303"/>
      <c r="AD141" s="303"/>
      <c r="AE141" s="303"/>
      <c r="AF141" s="303"/>
      <c r="AG141" s="303"/>
      <c r="AH141" s="303"/>
      <c r="AI141" s="303"/>
      <c r="AJ141" s="303"/>
      <c r="AK141" s="303"/>
      <c r="AL141" s="303"/>
      <c r="AM141" s="303"/>
      <c r="AN141" s="303"/>
      <c r="AO141" s="303"/>
      <c r="AP141" s="303"/>
      <c r="AQ141" s="303"/>
      <c r="AR141" s="303"/>
      <c r="AS141" s="303"/>
      <c r="AT141" s="303"/>
      <c r="AU141" s="303"/>
      <c r="AV141" s="303"/>
      <c r="AW141" s="303"/>
      <c r="AX141" s="303"/>
      <c r="AY141" s="303"/>
      <c r="AZ141" s="303"/>
      <c r="BA141" s="303"/>
      <c r="BB141" s="303"/>
      <c r="BC141" s="303"/>
      <c r="BD141" s="303"/>
      <c r="BE141" s="303"/>
      <c r="BF141" s="303"/>
      <c r="BG141" s="303"/>
      <c r="BH141" s="303"/>
      <c r="BI141" s="303"/>
      <c r="BJ141" s="303"/>
      <c r="BK141" s="303"/>
      <c r="BL141" s="303"/>
      <c r="BM141" s="303"/>
      <c r="BN141" s="303"/>
      <c r="BO141" s="303"/>
      <c r="BP141" s="303"/>
      <c r="BQ141" s="303"/>
      <c r="BR141" s="303"/>
      <c r="BS141" s="303"/>
      <c r="BT141" s="303"/>
      <c r="BU141" s="303"/>
      <c r="BV141" s="303"/>
      <c r="BW141" s="303"/>
      <c r="BX141" s="303"/>
      <c r="BY141" s="303"/>
      <c r="BZ141" s="303"/>
      <c r="CA141" s="303"/>
      <c r="CB141" s="303"/>
      <c r="CC141" s="303"/>
      <c r="CD141" s="303"/>
      <c r="CE141" s="303"/>
      <c r="CF141" s="303"/>
      <c r="CG141" s="303"/>
      <c r="CH141" s="303"/>
      <c r="CI141" s="303"/>
      <c r="CJ141" s="303"/>
      <c r="CK141" s="303"/>
      <c r="CL141" s="303"/>
      <c r="CM141" s="303"/>
      <c r="CN141" s="303"/>
      <c r="CO141" s="303"/>
      <c r="CP141" s="303"/>
      <c r="CQ141" s="303"/>
      <c r="CR141" s="303"/>
      <c r="CS141" s="303"/>
      <c r="CT141" s="303"/>
      <c r="CU141" s="303"/>
      <c r="CV141" s="303"/>
      <c r="CW141" s="303"/>
      <c r="CX141" s="303"/>
      <c r="CY141" s="303"/>
      <c r="CZ141" s="303"/>
      <c r="DA141" s="303"/>
      <c r="DB141" s="303"/>
      <c r="DC141" s="303"/>
      <c r="DD141" s="303"/>
      <c r="DE141" s="303"/>
      <c r="DF141" s="303"/>
      <c r="DG141" s="303"/>
      <c r="DH141" s="303"/>
      <c r="DI141" s="303"/>
      <c r="DJ141" s="303"/>
      <c r="DK141" s="303"/>
      <c r="DL141" s="303"/>
      <c r="DM141" s="303"/>
      <c r="DN141" s="303"/>
      <c r="DO141" s="303"/>
      <c r="DP141" s="303"/>
      <c r="DQ141" s="303"/>
      <c r="DR141" s="303"/>
      <c r="DS141" s="303"/>
      <c r="DT141" s="303"/>
      <c r="DU141" s="303"/>
      <c r="DV141" s="303"/>
      <c r="DW141" s="303"/>
      <c r="DX141" s="303"/>
      <c r="DY141" s="303"/>
      <c r="DZ141" s="303"/>
      <c r="EA141" s="303"/>
      <c r="EB141" s="303"/>
      <c r="EC141" s="303"/>
      <c r="ED141" s="303"/>
      <c r="EE141" s="303"/>
      <c r="EF141" s="303"/>
      <c r="EG141" s="303"/>
      <c r="EH141" s="303"/>
      <c r="EI141" s="303"/>
      <c r="EJ141" s="303"/>
      <c r="EK141" s="303"/>
      <c r="EL141" s="303"/>
      <c r="EM141" s="303"/>
      <c r="EN141" s="303"/>
      <c r="EO141" s="303"/>
      <c r="EP141" s="303"/>
      <c r="EQ141" s="303"/>
      <c r="ER141" s="303"/>
      <c r="ES141" s="303"/>
      <c r="ET141" s="303"/>
      <c r="EU141" s="303"/>
      <c r="EV141" s="303"/>
      <c r="EW141" s="303"/>
      <c r="EX141" s="303"/>
      <c r="EY141" s="303"/>
      <c r="EZ141" s="303"/>
      <c r="FA141" s="303"/>
      <c r="FB141" s="303"/>
      <c r="FC141" s="303"/>
      <c r="FD141" s="303"/>
      <c r="FE141" s="303"/>
      <c r="FF141" s="303"/>
      <c r="FG141" s="303"/>
      <c r="FH141" s="303"/>
      <c r="FI141" s="303"/>
      <c r="FJ141" s="303"/>
      <c r="FK141" s="303"/>
      <c r="FL141" s="303"/>
      <c r="FM141" s="303"/>
      <c r="FN141" s="303"/>
      <c r="FO141" s="303"/>
      <c r="FP141" s="303"/>
      <c r="FQ141" s="303"/>
      <c r="FR141" s="303"/>
      <c r="FS141" s="303"/>
      <c r="FT141" s="303"/>
      <c r="FU141" s="303"/>
      <c r="FV141" s="303"/>
      <c r="FW141" s="303"/>
      <c r="FX141" s="303"/>
      <c r="FY141" s="303"/>
      <c r="FZ141" s="303"/>
      <c r="GA141" s="303"/>
      <c r="GB141" s="303"/>
      <c r="GC141" s="303"/>
      <c r="GD141" s="303"/>
      <c r="GE141" s="303"/>
      <c r="GF141" s="303"/>
      <c r="GG141" s="303"/>
      <c r="GH141" s="303"/>
      <c r="GI141" s="303"/>
      <c r="GJ141" s="303"/>
      <c r="GK141" s="303"/>
      <c r="GL141" s="303"/>
      <c r="GM141" s="303"/>
      <c r="GN141" s="303"/>
      <c r="GO141" s="303"/>
      <c r="GP141" s="303"/>
      <c r="GQ141" s="303"/>
      <c r="GR141" s="303"/>
      <c r="GS141" s="303"/>
      <c r="GT141" s="303"/>
      <c r="GU141" s="303"/>
      <c r="GV141" s="303"/>
      <c r="GW141" s="303"/>
      <c r="GX141" s="303"/>
      <c r="GY141" s="303"/>
      <c r="GZ141" s="303"/>
      <c r="HA141" s="303"/>
      <c r="HB141" s="303"/>
      <c r="HC141" s="303"/>
      <c r="HD141" s="303"/>
      <c r="HE141" s="303"/>
      <c r="HF141" s="303"/>
      <c r="HG141" s="303"/>
      <c r="HH141" s="303"/>
      <c r="HI141" s="303"/>
      <c r="HJ141" s="303"/>
      <c r="HK141" s="303"/>
      <c r="HL141" s="303"/>
      <c r="HM141" s="303"/>
      <c r="HN141" s="303"/>
      <c r="HO141" s="303"/>
      <c r="HP141" s="303"/>
      <c r="HQ141" s="303"/>
      <c r="HR141" s="303"/>
      <c r="HS141" s="303"/>
      <c r="HT141" s="303"/>
      <c r="HU141" s="303"/>
      <c r="HV141" s="303"/>
      <c r="HW141" s="303"/>
      <c r="HX141" s="303"/>
      <c r="HY141" s="303"/>
      <c r="HZ141" s="303"/>
      <c r="IA141" s="303"/>
      <c r="IB141" s="303"/>
    </row>
    <row r="142" spans="8:236" x14ac:dyDescent="0.25">
      <c r="S142" s="278"/>
      <c r="T142" s="318"/>
      <c r="U142" s="304"/>
      <c r="V142" s="303"/>
      <c r="W142" s="303"/>
      <c r="X142" s="303"/>
      <c r="Y142" s="303"/>
      <c r="Z142" s="303"/>
      <c r="AA142" s="303"/>
      <c r="AB142" s="303"/>
      <c r="AC142" s="303"/>
      <c r="AD142" s="303"/>
      <c r="AE142" s="303"/>
      <c r="AF142" s="303"/>
      <c r="AG142" s="303"/>
      <c r="AH142" s="303"/>
      <c r="AI142" s="303"/>
      <c r="AJ142" s="303"/>
      <c r="AK142" s="303"/>
      <c r="AL142" s="303"/>
      <c r="AM142" s="303"/>
      <c r="AN142" s="303"/>
      <c r="AO142" s="303"/>
      <c r="AP142" s="303"/>
      <c r="AQ142" s="303"/>
      <c r="AR142" s="303"/>
      <c r="AS142" s="303"/>
      <c r="AT142" s="303"/>
      <c r="AU142" s="303"/>
      <c r="AV142" s="303"/>
      <c r="AW142" s="303"/>
      <c r="AX142" s="303"/>
      <c r="AY142" s="303"/>
      <c r="AZ142" s="303"/>
      <c r="BA142" s="303"/>
      <c r="BB142" s="303"/>
      <c r="BC142" s="303"/>
      <c r="BD142" s="303"/>
      <c r="BE142" s="303"/>
      <c r="BF142" s="303"/>
      <c r="BG142" s="303"/>
      <c r="BH142" s="303"/>
      <c r="BI142" s="303"/>
      <c r="BJ142" s="303"/>
      <c r="BK142" s="303"/>
      <c r="BL142" s="303"/>
      <c r="BM142" s="303"/>
      <c r="BN142" s="303"/>
      <c r="BO142" s="303"/>
      <c r="BP142" s="303"/>
      <c r="BQ142" s="303"/>
      <c r="BR142" s="303"/>
      <c r="BS142" s="303"/>
      <c r="BT142" s="303"/>
      <c r="BU142" s="303"/>
      <c r="BV142" s="303"/>
      <c r="BW142" s="303"/>
      <c r="BX142" s="303"/>
      <c r="BY142" s="303"/>
      <c r="BZ142" s="303"/>
      <c r="CA142" s="303"/>
      <c r="CB142" s="303"/>
      <c r="CC142" s="303"/>
      <c r="CD142" s="303"/>
      <c r="CE142" s="303"/>
      <c r="CF142" s="303"/>
      <c r="CG142" s="303"/>
      <c r="CH142" s="303"/>
      <c r="CI142" s="303"/>
      <c r="CJ142" s="303"/>
      <c r="CK142" s="303"/>
      <c r="CL142" s="303"/>
      <c r="CM142" s="303"/>
      <c r="CN142" s="303"/>
      <c r="CO142" s="303"/>
      <c r="CP142" s="303"/>
      <c r="CQ142" s="303"/>
      <c r="CR142" s="303"/>
      <c r="CS142" s="303"/>
      <c r="CT142" s="303"/>
      <c r="CU142" s="303"/>
      <c r="CV142" s="303"/>
      <c r="CW142" s="303"/>
      <c r="CX142" s="303"/>
      <c r="CY142" s="303"/>
      <c r="CZ142" s="303"/>
      <c r="DA142" s="303"/>
      <c r="DB142" s="303"/>
      <c r="DC142" s="303"/>
      <c r="DD142" s="303"/>
      <c r="DE142" s="303"/>
      <c r="DF142" s="303"/>
      <c r="DG142" s="303"/>
      <c r="DH142" s="303"/>
      <c r="DI142" s="303"/>
      <c r="DJ142" s="303"/>
      <c r="DK142" s="303"/>
      <c r="DL142" s="303"/>
      <c r="DM142" s="303"/>
      <c r="DN142" s="303"/>
      <c r="DO142" s="303"/>
      <c r="DP142" s="303"/>
      <c r="DQ142" s="303"/>
      <c r="DR142" s="303"/>
      <c r="DS142" s="303"/>
      <c r="DT142" s="303"/>
      <c r="DU142" s="303"/>
      <c r="DV142" s="303"/>
      <c r="DW142" s="303"/>
      <c r="DX142" s="303"/>
      <c r="DY142" s="303"/>
      <c r="DZ142" s="303"/>
      <c r="EA142" s="303"/>
      <c r="EB142" s="303"/>
      <c r="EC142" s="303"/>
      <c r="ED142" s="303"/>
      <c r="EE142" s="303"/>
      <c r="EF142" s="303"/>
      <c r="EG142" s="303"/>
      <c r="EH142" s="303"/>
      <c r="EI142" s="303"/>
      <c r="EJ142" s="303"/>
      <c r="EK142" s="303"/>
      <c r="EL142" s="303"/>
      <c r="EM142" s="303"/>
      <c r="EN142" s="303"/>
      <c r="EO142" s="303"/>
      <c r="EP142" s="303"/>
      <c r="EQ142" s="303"/>
      <c r="ER142" s="303"/>
      <c r="ES142" s="303"/>
      <c r="ET142" s="303"/>
      <c r="EU142" s="303"/>
      <c r="EV142" s="303"/>
      <c r="EW142" s="303"/>
      <c r="EX142" s="303"/>
      <c r="EY142" s="303"/>
      <c r="EZ142" s="303"/>
      <c r="FA142" s="303"/>
      <c r="FB142" s="303"/>
      <c r="FC142" s="303"/>
      <c r="FD142" s="303"/>
      <c r="FE142" s="303"/>
      <c r="FF142" s="303"/>
      <c r="FG142" s="303"/>
      <c r="FH142" s="303"/>
      <c r="FI142" s="303"/>
      <c r="FJ142" s="303"/>
      <c r="FK142" s="303"/>
      <c r="FL142" s="303"/>
      <c r="FM142" s="303"/>
      <c r="FN142" s="303"/>
      <c r="FO142" s="303"/>
      <c r="FP142" s="303"/>
      <c r="FQ142" s="303"/>
      <c r="FR142" s="303"/>
      <c r="FS142" s="303"/>
      <c r="FT142" s="303"/>
      <c r="FU142" s="303"/>
      <c r="FV142" s="303"/>
      <c r="FW142" s="303"/>
      <c r="FX142" s="303"/>
      <c r="FY142" s="303"/>
      <c r="FZ142" s="303"/>
      <c r="GA142" s="303"/>
      <c r="GB142" s="303"/>
      <c r="GC142" s="303"/>
      <c r="GD142" s="303"/>
      <c r="GE142" s="303"/>
      <c r="GF142" s="303"/>
      <c r="GG142" s="303"/>
      <c r="GH142" s="303"/>
      <c r="GI142" s="303"/>
      <c r="GJ142" s="303"/>
      <c r="GK142" s="303"/>
      <c r="GL142" s="303"/>
      <c r="GM142" s="303"/>
      <c r="GN142" s="303"/>
      <c r="GO142" s="303"/>
      <c r="GP142" s="303"/>
      <c r="GQ142" s="303"/>
      <c r="GR142" s="303"/>
      <c r="GS142" s="303"/>
      <c r="GT142" s="303"/>
      <c r="GU142" s="303"/>
      <c r="GV142" s="303"/>
      <c r="GW142" s="303"/>
      <c r="GX142" s="303"/>
      <c r="GY142" s="303"/>
      <c r="GZ142" s="303"/>
      <c r="HA142" s="303"/>
      <c r="HB142" s="303"/>
      <c r="HC142" s="303"/>
      <c r="HD142" s="303"/>
      <c r="HE142" s="303"/>
      <c r="HF142" s="303"/>
      <c r="HG142" s="303"/>
      <c r="HH142" s="303"/>
      <c r="HI142" s="303"/>
      <c r="HJ142" s="303"/>
      <c r="HK142" s="303"/>
      <c r="HL142" s="303"/>
      <c r="HM142" s="303"/>
      <c r="HN142" s="303"/>
      <c r="HO142" s="303"/>
      <c r="HP142" s="303"/>
      <c r="HQ142" s="303"/>
      <c r="HR142" s="303"/>
      <c r="HS142" s="303"/>
      <c r="HT142" s="303"/>
      <c r="HU142" s="303"/>
      <c r="HV142" s="303"/>
      <c r="HW142" s="303"/>
      <c r="HX142" s="303"/>
      <c r="HY142" s="303"/>
      <c r="HZ142" s="303"/>
      <c r="IA142" s="303"/>
      <c r="IB142" s="303"/>
    </row>
    <row r="143" spans="8:236" x14ac:dyDescent="0.25">
      <c r="S143" s="278"/>
      <c r="T143" s="318"/>
      <c r="U143" s="321"/>
      <c r="V143" s="303"/>
      <c r="W143" s="303"/>
      <c r="X143" s="303"/>
      <c r="Y143" s="303"/>
      <c r="Z143" s="303"/>
      <c r="AA143" s="303"/>
      <c r="AB143" s="303"/>
      <c r="AC143" s="303"/>
      <c r="AD143" s="303"/>
      <c r="AE143" s="303"/>
      <c r="AF143" s="303"/>
      <c r="AG143" s="303"/>
      <c r="AH143" s="303"/>
      <c r="AI143" s="303"/>
      <c r="AJ143" s="303"/>
      <c r="AK143" s="303"/>
      <c r="AL143" s="303"/>
      <c r="AM143" s="303"/>
      <c r="AN143" s="303"/>
      <c r="AO143" s="303"/>
      <c r="AP143" s="303"/>
      <c r="AQ143" s="303"/>
      <c r="AR143" s="303"/>
      <c r="AS143" s="303"/>
      <c r="AT143" s="303"/>
      <c r="AU143" s="303"/>
      <c r="AV143" s="303"/>
      <c r="AW143" s="303"/>
      <c r="AX143" s="303"/>
      <c r="AY143" s="303"/>
      <c r="AZ143" s="303"/>
      <c r="BA143" s="303"/>
      <c r="BB143" s="303"/>
      <c r="BC143" s="303"/>
      <c r="BD143" s="303"/>
      <c r="BE143" s="303"/>
      <c r="BF143" s="303"/>
      <c r="BG143" s="303"/>
      <c r="BH143" s="303"/>
      <c r="BI143" s="303"/>
      <c r="BJ143" s="303"/>
      <c r="BK143" s="303"/>
      <c r="BL143" s="303"/>
      <c r="BM143" s="303"/>
      <c r="BN143" s="303"/>
      <c r="BO143" s="303"/>
      <c r="BP143" s="303"/>
      <c r="BQ143" s="303"/>
      <c r="BR143" s="303"/>
      <c r="BS143" s="303"/>
      <c r="BT143" s="303"/>
      <c r="BU143" s="303"/>
      <c r="BV143" s="303"/>
      <c r="BW143" s="303"/>
      <c r="BX143" s="303"/>
      <c r="BY143" s="303"/>
      <c r="BZ143" s="303"/>
      <c r="CA143" s="303"/>
      <c r="CB143" s="303"/>
      <c r="CC143" s="303"/>
      <c r="CD143" s="303"/>
      <c r="CE143" s="303"/>
      <c r="CF143" s="303"/>
      <c r="CG143" s="303"/>
      <c r="CH143" s="303"/>
      <c r="CI143" s="303"/>
      <c r="CJ143" s="303"/>
      <c r="CK143" s="303"/>
      <c r="CL143" s="303"/>
      <c r="CM143" s="303"/>
      <c r="CN143" s="303"/>
      <c r="CO143" s="303"/>
      <c r="CP143" s="303"/>
      <c r="CQ143" s="303"/>
      <c r="CR143" s="303"/>
      <c r="CS143" s="303"/>
      <c r="CT143" s="303"/>
      <c r="CU143" s="303"/>
      <c r="CV143" s="303"/>
      <c r="CW143" s="303"/>
      <c r="CX143" s="303"/>
      <c r="CY143" s="303"/>
      <c r="CZ143" s="303"/>
      <c r="DA143" s="303"/>
      <c r="DB143" s="303"/>
      <c r="DC143" s="303"/>
      <c r="DD143" s="303"/>
      <c r="DE143" s="303"/>
      <c r="DF143" s="303"/>
      <c r="DG143" s="303"/>
      <c r="DH143" s="303"/>
      <c r="DI143" s="303"/>
      <c r="DJ143" s="303"/>
      <c r="DK143" s="303"/>
      <c r="DL143" s="303"/>
      <c r="DM143" s="303"/>
      <c r="DN143" s="303"/>
      <c r="DO143" s="303"/>
      <c r="DP143" s="303"/>
      <c r="DQ143" s="303"/>
      <c r="DR143" s="303"/>
      <c r="DS143" s="303"/>
      <c r="DT143" s="303"/>
      <c r="DU143" s="303"/>
      <c r="DV143" s="303"/>
      <c r="DW143" s="303"/>
      <c r="DX143" s="303"/>
      <c r="DY143" s="303"/>
      <c r="DZ143" s="303"/>
      <c r="EA143" s="303"/>
      <c r="EB143" s="303"/>
      <c r="EC143" s="303"/>
      <c r="ED143" s="303"/>
      <c r="EE143" s="303"/>
      <c r="EF143" s="303"/>
      <c r="EG143" s="303"/>
      <c r="EH143" s="303"/>
      <c r="EI143" s="303"/>
      <c r="EJ143" s="303"/>
      <c r="EK143" s="303"/>
      <c r="EL143" s="303"/>
      <c r="EM143" s="303"/>
      <c r="EN143" s="303"/>
      <c r="EO143" s="303"/>
      <c r="EP143" s="303"/>
      <c r="EQ143" s="303"/>
      <c r="ER143" s="303"/>
      <c r="ES143" s="303"/>
      <c r="ET143" s="303"/>
      <c r="EU143" s="303"/>
      <c r="EV143" s="303"/>
      <c r="EW143" s="303"/>
      <c r="EX143" s="303"/>
      <c r="EY143" s="303"/>
      <c r="EZ143" s="303"/>
      <c r="FA143" s="303"/>
      <c r="FB143" s="303"/>
      <c r="FC143" s="303"/>
      <c r="FD143" s="303"/>
      <c r="FE143" s="303"/>
      <c r="FF143" s="303"/>
      <c r="FG143" s="303"/>
      <c r="FH143" s="303"/>
      <c r="FI143" s="303"/>
      <c r="FJ143" s="303"/>
      <c r="FK143" s="303"/>
      <c r="FL143" s="303"/>
      <c r="FM143" s="303"/>
      <c r="FN143" s="303"/>
      <c r="FO143" s="303"/>
      <c r="FP143" s="303"/>
      <c r="FQ143" s="303"/>
      <c r="FR143" s="303"/>
      <c r="FS143" s="303"/>
      <c r="FT143" s="303"/>
      <c r="FU143" s="303"/>
      <c r="FV143" s="303"/>
      <c r="FW143" s="303"/>
      <c r="FX143" s="303"/>
      <c r="FY143" s="303"/>
      <c r="FZ143" s="303"/>
      <c r="GA143" s="303"/>
      <c r="GB143" s="303"/>
      <c r="GC143" s="303"/>
      <c r="GD143" s="303"/>
      <c r="GE143" s="303"/>
      <c r="GF143" s="303"/>
      <c r="GG143" s="303"/>
      <c r="GH143" s="303"/>
      <c r="GI143" s="303"/>
      <c r="GJ143" s="303"/>
      <c r="GK143" s="303"/>
      <c r="GL143" s="303"/>
      <c r="GM143" s="303"/>
      <c r="GN143" s="303"/>
      <c r="GO143" s="303"/>
      <c r="GP143" s="303"/>
      <c r="GQ143" s="303"/>
      <c r="GR143" s="303"/>
      <c r="GS143" s="303"/>
      <c r="GT143" s="303"/>
      <c r="GU143" s="303"/>
      <c r="GV143" s="303"/>
      <c r="GW143" s="303"/>
      <c r="GX143" s="303"/>
      <c r="GY143" s="303"/>
      <c r="GZ143" s="303"/>
      <c r="HA143" s="303"/>
      <c r="HB143" s="303"/>
      <c r="HC143" s="303"/>
      <c r="HD143" s="303"/>
      <c r="HE143" s="303"/>
      <c r="HF143" s="303"/>
      <c r="HG143" s="303"/>
      <c r="HH143" s="303"/>
      <c r="HI143" s="303"/>
      <c r="HJ143" s="303"/>
      <c r="HK143" s="303"/>
      <c r="HL143" s="303"/>
      <c r="HM143" s="303"/>
      <c r="HN143" s="303"/>
      <c r="HO143" s="303"/>
      <c r="HP143" s="303"/>
      <c r="HQ143" s="303"/>
      <c r="HR143" s="303"/>
      <c r="HS143" s="303"/>
      <c r="HT143" s="303"/>
      <c r="HU143" s="303"/>
      <c r="HV143" s="303"/>
      <c r="HW143" s="303"/>
      <c r="HX143" s="303"/>
      <c r="HY143" s="303"/>
      <c r="HZ143" s="303"/>
      <c r="IA143" s="303"/>
      <c r="IB143" s="303"/>
    </row>
    <row r="144" spans="8:236" x14ac:dyDescent="0.25">
      <c r="S144" s="278"/>
      <c r="T144" s="288"/>
    </row>
    <row r="145" spans="6:31" x14ac:dyDescent="0.25">
      <c r="V145" s="316"/>
      <c r="W145" s="316"/>
      <c r="X145" s="316"/>
      <c r="Y145" s="316"/>
      <c r="Z145" s="316"/>
      <c r="AA145" s="316"/>
      <c r="AB145" s="316"/>
      <c r="AC145" s="316"/>
      <c r="AD145" s="323"/>
    </row>
    <row r="146" spans="6:31" x14ac:dyDescent="0.25">
      <c r="AD146" s="323"/>
      <c r="AE146" s="317"/>
    </row>
    <row r="147" spans="6:31" x14ac:dyDescent="0.25"/>
    <row r="148" spans="6:31" x14ac:dyDescent="0.25"/>
    <row r="149" spans="6:31" x14ac:dyDescent="0.25"/>
    <row r="150" spans="6:31" x14ac:dyDescent="0.25"/>
    <row r="151" spans="6:31" x14ac:dyDescent="0.25">
      <c r="F151" t="s">
        <v>125</v>
      </c>
    </row>
    <row r="152" spans="6:31" x14ac:dyDescent="0.25"/>
    <row r="153" spans="6:31" x14ac:dyDescent="0.25"/>
    <row r="154" spans="6:31" x14ac:dyDescent="0.25"/>
    <row r="155" spans="6:31" ht="15" customHeight="1" x14ac:dyDescent="0.25">
      <c r="S155" s="317"/>
    </row>
    <row r="157" spans="6:31" x14ac:dyDescent="0.25"/>
    <row r="158" spans="6:31" x14ac:dyDescent="0.25"/>
    <row r="159" spans="6:31" x14ac:dyDescent="0.25"/>
    <row r="160" spans="6:31" x14ac:dyDescent="0.25"/>
  </sheetData>
  <dataConsolidate/>
  <mergeCells count="1">
    <mergeCell ref="E6:G6"/>
  </mergeCells>
  <printOptions horizontalCentered="1"/>
  <pageMargins left="0.25" right="0.25" top="0.25" bottom="0.25" header="0.31496062992126" footer="0.25"/>
  <pageSetup scale="44" orientation="landscape" r:id="rId1"/>
  <headerFooter scaleWithDoc="0">
    <oddFooter>&amp;L&amp;"+,Regular"&amp;8Alts Draft&amp;C&amp;"+,Regular"&amp;8&amp;D
&amp;T&amp;R&amp;"+,Regular"&amp;8&amp;P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Model</vt:lpstr>
      <vt:lpstr>Model!Print_Area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Chan</dc:creator>
  <cp:lastModifiedBy>Drew Peterson</cp:lastModifiedBy>
  <dcterms:created xsi:type="dcterms:W3CDTF">2023-06-27T17:46:28Z</dcterms:created>
  <dcterms:modified xsi:type="dcterms:W3CDTF">2026-05-16T01:14:13Z</dcterms:modified>
</cp:coreProperties>
</file>